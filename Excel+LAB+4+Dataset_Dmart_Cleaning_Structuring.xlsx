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97BB5C87-5388-47A5-AE64-9A83026A14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Dataset" sheetId="1" r:id="rId1"/>
    <sheet name="Sheet5" sheetId="9" r:id="rId2"/>
    <sheet name="Sheet3" sheetId="3" r:id="rId3"/>
    <sheet name="if_formula" sheetId="5" r:id="rId4"/>
    <sheet name="custome_list" sheetId="4" r:id="rId5"/>
    <sheet name="Sheet1" sheetId="6" r:id="rId6"/>
    <sheet name="Sheet2" sheetId="7" r:id="rId7"/>
    <sheet name="Sheet4" sheetId="8" r:id="rId8"/>
  </sheets>
  <definedNames>
    <definedName name="Category">DMart_Sales_data[Category]</definedName>
    <definedName name="Discount">DMart_Sales_data[discount]</definedName>
    <definedName name="Region">DMart_Sales_data[Updated_Result]</definedName>
    <definedName name="Regions">DMart_Sales_data[Region]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S12" i="1" l="1"/>
  <c r="S10" i="1"/>
  <c r="H5" i="9"/>
  <c r="H4" i="9"/>
  <c r="H3" i="9"/>
  <c r="S8" i="1"/>
  <c r="S7" i="1"/>
  <c r="S6" i="1"/>
  <c r="E19" i="6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D4" i="6"/>
  <c r="F38" i="6"/>
  <c r="F36" i="6"/>
  <c r="F37" i="6"/>
  <c r="F35" i="6"/>
  <c r="D14" i="6"/>
  <c r="E14" i="6" s="1"/>
  <c r="D15" i="6"/>
  <c r="E15" i="6" s="1"/>
  <c r="D16" i="6"/>
  <c r="E16" i="6" s="1"/>
  <c r="D17" i="6"/>
  <c r="E17" i="6" s="1"/>
  <c r="D13" i="6"/>
  <c r="E13" i="6" s="1"/>
  <c r="D5" i="6"/>
  <c r="D6" i="6"/>
  <c r="D7" i="6"/>
  <c r="D8" i="6"/>
  <c r="J12" i="5"/>
  <c r="J13" i="5"/>
  <c r="K3" i="5"/>
  <c r="K4" i="5"/>
  <c r="K2" i="5"/>
  <c r="E2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<sst xmlns="http://schemas.openxmlformats.org/spreadsheetml/2006/main" count="4168" uniqueCount="654">
  <si>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</si>
  <si>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</si>
  <si>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</si>
  <si>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</si>
  <si>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</si>
  <si>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</si>
  <si>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</si>
  <si>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</si>
  <si>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</si>
  <si>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</si>
  <si>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</si>
  <si>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</si>
  <si>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</si>
  <si>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</si>
  <si>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</si>
  <si>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</si>
  <si>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</si>
  <si>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</si>
  <si>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</si>
  <si>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</si>
  <si>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</si>
  <si>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</si>
  <si>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</si>
  <si>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</si>
  <si>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</si>
  <si>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</si>
  <si>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</si>
  <si>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</si>
  <si>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</si>
  <si>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</si>
  <si>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</si>
  <si>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</si>
  <si>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</si>
  <si>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</si>
  <si>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</si>
  <si>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</si>
  <si>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</si>
  <si>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</si>
  <si>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</si>
  <si>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</si>
  <si>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</si>
  <si>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</si>
  <si>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</si>
  <si>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</si>
  <si>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</si>
  <si>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</si>
  <si>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</si>
  <si>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</si>
  <si>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</si>
  <si>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</si>
  <si>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</si>
  <si>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</si>
  <si>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</si>
  <si>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</si>
  <si>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</si>
  <si>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</si>
  <si>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</si>
  <si>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</si>
  <si>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</si>
  <si>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</si>
  <si>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</si>
  <si>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</si>
  <si>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</si>
  <si>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</si>
  <si>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</si>
  <si>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</si>
  <si>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</si>
  <si>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</si>
  <si>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</si>
  <si>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</si>
  <si>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</si>
  <si>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</si>
  <si>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</si>
  <si>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</si>
  <si>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</si>
  <si>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</si>
  <si>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</si>
  <si>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</si>
  <si>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</si>
  <si>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</si>
  <si>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</si>
  <si>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</si>
  <si>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</si>
  <si>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</si>
  <si>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</si>
  <si>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</si>
  <si>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</si>
  <si>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</si>
  <si>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</si>
  <si>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</si>
  <si>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</si>
  <si>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</si>
  <si>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</si>
  <si>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</si>
  <si>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</si>
  <si>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</si>
  <si>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</si>
  <si>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</si>
  <si>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</si>
  <si>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</si>
  <si>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</si>
  <si>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</si>
  <si>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</si>
  <si>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</si>
  <si>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</si>
  <si>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</si>
  <si>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</si>
  <si>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</si>
  <si>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</si>
  <si>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</si>
  <si>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</si>
  <si>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</si>
  <si>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</si>
  <si>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</si>
  <si>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</si>
  <si>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</si>
  <si>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</si>
  <si>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</si>
  <si>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</si>
  <si>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</si>
  <si>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</si>
  <si>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</si>
  <si>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</si>
  <si>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</si>
  <si>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</si>
  <si>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</si>
  <si>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</si>
  <si>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</si>
  <si>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</si>
  <si>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</si>
  <si>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</si>
  <si>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</si>
  <si>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</si>
  <si>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</si>
  <si>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</si>
  <si>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</si>
  <si>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</si>
  <si>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</si>
  <si>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</si>
  <si>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</si>
  <si>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</si>
  <si>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</si>
  <si>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</si>
  <si>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</si>
  <si>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</si>
  <si>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</si>
  <si>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</si>
  <si>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</si>
  <si>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</si>
  <si>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</si>
  <si>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</si>
  <si>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</si>
  <si>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</si>
  <si>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</si>
  <si>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</si>
  <si>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</si>
  <si>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</si>
  <si>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</si>
  <si>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</si>
  <si>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</si>
  <si>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</si>
  <si>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</si>
  <si>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</si>
  <si>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</si>
  <si>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</si>
  <si>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</si>
  <si>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</si>
  <si>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</si>
  <si>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</si>
  <si>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</si>
  <si>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</si>
  <si>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</si>
  <si>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</si>
  <si>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</si>
  <si>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</si>
  <si>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</si>
  <si>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</si>
  <si>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</si>
  <si>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</si>
  <si>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</si>
  <si>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</si>
  <si>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</si>
  <si>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</si>
  <si>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</si>
  <si>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</si>
  <si>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</si>
  <si>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</si>
  <si>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</si>
  <si>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</si>
  <si>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</si>
  <si>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</si>
  <si>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</si>
  <si>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</si>
  <si>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</si>
  <si>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</si>
  <si>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</si>
  <si>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</si>
  <si>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</si>
  <si>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</si>
  <si>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</si>
  <si>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</si>
  <si>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</si>
  <si>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</si>
  <si>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</si>
  <si>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</si>
  <si>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</si>
  <si>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</si>
  <si>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</si>
  <si>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</si>
  <si>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</si>
  <si>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</si>
  <si>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</si>
  <si>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</si>
  <si>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</si>
  <si>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</si>
  <si>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</si>
  <si>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</si>
  <si>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</si>
  <si>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</si>
  <si>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</si>
  <si>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</si>
  <si>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</si>
  <si>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</si>
  <si>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</si>
  <si>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</si>
  <si>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</si>
  <si>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</si>
  <si>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</si>
  <si>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</si>
  <si>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</si>
  <si>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</si>
  <si>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</si>
  <si>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</si>
  <si>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</si>
  <si>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</si>
  <si>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</si>
  <si>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</si>
  <si>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</si>
  <si>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</si>
  <si>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</si>
  <si>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</si>
  <si>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</si>
  <si>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</si>
  <si>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</si>
  <si>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</si>
  <si>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</si>
  <si>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</si>
  <si>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</si>
  <si>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</si>
  <si>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</si>
  <si>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</si>
  <si>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</si>
  <si>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</si>
  <si>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</si>
  <si>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</si>
  <si>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</si>
  <si>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</si>
  <si>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</si>
  <si>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</si>
  <si>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</si>
  <si>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</si>
  <si>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</si>
  <si>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</si>
  <si>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</si>
  <si>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</si>
  <si>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</si>
  <si>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</si>
  <si>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</si>
  <si>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</si>
  <si>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</si>
  <si>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</si>
  <si>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</si>
  <si>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</si>
  <si>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</si>
  <si>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</si>
  <si>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</si>
  <si>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</si>
  <si>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</si>
  <si>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</si>
  <si>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</si>
  <si>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</si>
  <si>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</si>
  <si>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</si>
  <si>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</si>
  <si>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</si>
  <si>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</si>
  <si>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</si>
  <si>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</si>
  <si>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</si>
  <si>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</si>
  <si>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</si>
  <si>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</si>
  <si>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</si>
  <si>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</si>
  <si>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</si>
  <si>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</si>
  <si>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</si>
  <si>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</si>
  <si>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</si>
  <si>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</si>
  <si>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</si>
  <si>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</si>
  <si>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</si>
  <si>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</si>
  <si>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</si>
  <si>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</si>
  <si>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</si>
  <si>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</si>
  <si>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</si>
  <si>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</si>
  <si>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</si>
  <si>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</si>
  <si>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</si>
  <si>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</si>
  <si>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</si>
  <si>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</si>
  <si>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</si>
  <si>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</si>
  <si>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</si>
  <si>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</si>
  <si>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</si>
  <si>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</si>
  <si>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</si>
  <si>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</si>
  <si>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</si>
  <si>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</si>
  <si>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</si>
  <si>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</si>
  <si>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</si>
  <si>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</si>
  <si>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</si>
  <si>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</si>
  <si>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</si>
  <si>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</si>
  <si>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</si>
  <si>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</si>
  <si>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</si>
  <si>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</si>
  <si>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</si>
  <si>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</si>
  <si>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</si>
  <si>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</si>
  <si>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</si>
  <si>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</si>
  <si>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</si>
  <si>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</si>
  <si>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</si>
  <si>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</si>
  <si>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</si>
  <si>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</si>
  <si>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</si>
  <si>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</si>
  <si>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</si>
  <si>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</si>
  <si>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</si>
  <si>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</si>
  <si>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</si>
  <si>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</si>
  <si>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</si>
  <si>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</si>
  <si>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</si>
  <si>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</si>
  <si>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</si>
  <si>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</si>
  <si>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</si>
  <si>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</si>
  <si>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</si>
  <si>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</si>
  <si>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</si>
  <si>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</si>
  <si>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</si>
  <si>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</si>
  <si>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</si>
  <si>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</si>
  <si>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</si>
  <si>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</si>
  <si>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</si>
  <si>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</si>
  <si>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</si>
  <si>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</si>
  <si>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</si>
  <si>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</si>
  <si>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</si>
  <si>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</si>
  <si>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</si>
  <si>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</si>
  <si>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</si>
  <si>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</si>
  <si>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</si>
  <si>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</si>
  <si>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</si>
  <si>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</si>
  <si>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</si>
  <si>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</si>
  <si>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</si>
  <si>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</si>
  <si>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</si>
  <si>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</si>
  <si>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</si>
  <si>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</si>
  <si>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</si>
  <si>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</si>
  <si>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</si>
  <si>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</si>
  <si>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</si>
  <si>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</si>
  <si>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</si>
  <si>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</si>
  <si>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</si>
  <si>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</si>
  <si>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</si>
  <si>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</si>
  <si>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</si>
  <si>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</si>
  <si>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</si>
  <si>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</si>
  <si>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</si>
  <si>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</si>
  <si>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</si>
  <si>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</si>
  <si>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</si>
  <si>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</si>
  <si>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</si>
  <si>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</si>
  <si>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</si>
  <si>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</si>
  <si>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</si>
  <si>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</si>
  <si>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</si>
  <si>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</si>
  <si>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</si>
  <si>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</si>
  <si>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</si>
  <si>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</si>
  <si>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</si>
  <si>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</si>
  <si>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</si>
  <si>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</si>
  <si>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</si>
  <si>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</si>
  <si>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</si>
  <si>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</si>
  <si>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</si>
  <si>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</si>
  <si>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</si>
  <si>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</si>
  <si>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</si>
  <si>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</si>
  <si>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</si>
  <si>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</si>
  <si>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</si>
  <si>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</si>
  <si>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</si>
  <si>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</si>
  <si>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</si>
  <si>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</si>
  <si>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</si>
  <si>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</si>
  <si>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</si>
  <si>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</si>
  <si>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</si>
  <si>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</si>
  <si>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</si>
  <si>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</si>
  <si>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</si>
  <si>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</si>
  <si>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</si>
  <si>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</si>
  <si>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</si>
  <si>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</si>
  <si>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</si>
  <si>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</si>
  <si>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</si>
  <si>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</si>
  <si>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</si>
  <si>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</si>
  <si>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</si>
  <si>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</si>
  <si>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</si>
  <si>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</si>
  <si>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</si>
  <si>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</si>
  <si>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</si>
  <si>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</si>
  <si>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</si>
  <si>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</si>
  <si>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</si>
  <si>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</si>
  <si>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</si>
  <si>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</si>
  <si>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</si>
  <si>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</si>
  <si>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</si>
  <si>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</si>
  <si>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</si>
  <si>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</si>
  <si>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</si>
  <si>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</si>
  <si>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</si>
  <si>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</si>
  <si>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</si>
  <si>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</si>
  <si>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</si>
  <si>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</si>
  <si>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</si>
  <si>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</si>
  <si>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</si>
  <si>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</si>
  <si>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</si>
  <si>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</si>
  <si>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</si>
  <si>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</si>
  <si>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</si>
  <si>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</si>
  <si>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</si>
  <si>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</si>
  <si>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</si>
  <si>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</si>
  <si>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</si>
  <si>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</si>
  <si>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</si>
  <si>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</si>
  <si>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</si>
  <si>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</si>
  <si>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</si>
  <si>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</si>
  <si>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</si>
  <si>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</si>
  <si>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</si>
  <si>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</si>
  <si>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</si>
  <si>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</si>
  <si>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</si>
  <si>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</si>
  <si>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</si>
  <si>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</si>
  <si>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</si>
  <si>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</si>
  <si>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</si>
  <si>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</si>
  <si>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</si>
  <si>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</si>
  <si>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</t>
  </si>
  <si>
    <t>Updated_City</t>
  </si>
  <si>
    <t>First Name</t>
  </si>
  <si>
    <t>Last_Name</t>
  </si>
  <si>
    <t>Full Name</t>
  </si>
  <si>
    <t>Ritesh</t>
  </si>
  <si>
    <t>Ramteke</t>
  </si>
  <si>
    <t>Suhas</t>
  </si>
  <si>
    <t>Borkar</t>
  </si>
  <si>
    <t xml:space="preserve">Abhi </t>
  </si>
  <si>
    <t>Disuja</t>
  </si>
  <si>
    <t>Sachin</t>
  </si>
  <si>
    <t>Bhat</t>
  </si>
  <si>
    <t>Ritesh Ramteke</t>
  </si>
  <si>
    <t>Suhas Borkar</t>
  </si>
  <si>
    <t>Abhi Disuja</t>
  </si>
  <si>
    <t>Sachin Bhat</t>
  </si>
  <si>
    <t>email</t>
  </si>
  <si>
    <t>suhas@gmail.com</t>
  </si>
  <si>
    <t>abhi@gmail.com</t>
  </si>
  <si>
    <t>sachin@gmail.com</t>
  </si>
  <si>
    <t>username</t>
  </si>
  <si>
    <t>abhi</t>
  </si>
  <si>
    <t>riteshramteke03@gmail.com</t>
  </si>
  <si>
    <t>ritesh</t>
  </si>
  <si>
    <t>suhas</t>
  </si>
  <si>
    <t>sachin</t>
  </si>
  <si>
    <t>Contact-No</t>
  </si>
  <si>
    <t>91-8967598967</t>
  </si>
  <si>
    <t>91-9878586967</t>
  </si>
  <si>
    <t>91-9089788767</t>
  </si>
  <si>
    <t>91-8978877890</t>
  </si>
  <si>
    <t>10 digt</t>
  </si>
  <si>
    <t>Updated_Result</t>
  </si>
  <si>
    <t>West</t>
  </si>
  <si>
    <t>Sales</t>
  </si>
  <si>
    <t>Names</t>
  </si>
  <si>
    <t>Niket</t>
  </si>
  <si>
    <t>Rahul</t>
  </si>
  <si>
    <t>Sanny</t>
  </si>
  <si>
    <t>Employee Name</t>
  </si>
  <si>
    <t>Months</t>
  </si>
  <si>
    <t>March</t>
  </si>
  <si>
    <t>April</t>
  </si>
  <si>
    <t>May</t>
  </si>
  <si>
    <t>June</t>
  </si>
  <si>
    <t>February</t>
  </si>
  <si>
    <t>January</t>
  </si>
  <si>
    <t>September</t>
  </si>
  <si>
    <t>July</t>
  </si>
  <si>
    <t>August</t>
  </si>
  <si>
    <t>October</t>
  </si>
  <si>
    <t>November</t>
  </si>
  <si>
    <t>December</t>
  </si>
  <si>
    <t>Target Achieved</t>
  </si>
  <si>
    <t xml:space="preserve">Target </t>
  </si>
  <si>
    <t>Name</t>
  </si>
  <si>
    <t>English</t>
  </si>
  <si>
    <t>Maths</t>
  </si>
  <si>
    <t>Science</t>
  </si>
  <si>
    <t>Grade</t>
  </si>
  <si>
    <t>Aniket</t>
  </si>
  <si>
    <t>A+</t>
  </si>
  <si>
    <t>75+</t>
  </si>
  <si>
    <t>B</t>
  </si>
  <si>
    <t>eng/math</t>
  </si>
  <si>
    <t>City</t>
  </si>
  <si>
    <t>Marks</t>
  </si>
  <si>
    <t>Nagpur</t>
  </si>
  <si>
    <t>Wardha</t>
  </si>
  <si>
    <t>Status</t>
  </si>
  <si>
    <t>&gt;90</t>
  </si>
  <si>
    <t>&gt;75</t>
  </si>
  <si>
    <t>&gt;60</t>
  </si>
  <si>
    <t>A++</t>
  </si>
  <si>
    <t>A</t>
  </si>
  <si>
    <t>&gt;40</t>
  </si>
  <si>
    <t xml:space="preserve">Else </t>
  </si>
  <si>
    <t>fail</t>
  </si>
  <si>
    <t>aarav</t>
  </si>
  <si>
    <t>Bonus</t>
  </si>
  <si>
    <t>&lt;50000</t>
  </si>
  <si>
    <t>No Bonus</t>
  </si>
  <si>
    <t>Bonus Amount</t>
  </si>
  <si>
    <t>Sales Range</t>
  </si>
  <si>
    <t>Number-1</t>
  </si>
  <si>
    <t>Number-2</t>
  </si>
  <si>
    <t>Division</t>
  </si>
  <si>
    <t>sales_Range</t>
  </si>
  <si>
    <t>upi or card</t>
  </si>
  <si>
    <t>member</t>
  </si>
  <si>
    <t>Discount2</t>
  </si>
  <si>
    <t>Total Sales above 50000</t>
  </si>
  <si>
    <t>Total Sales  by UPI mode of payment</t>
  </si>
  <si>
    <t>Total Sales by Card</t>
  </si>
  <si>
    <t>Total Sales BY  Cash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</si>
  <si>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</si>
  <si>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</si>
  <si>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</si>
  <si>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</si>
  <si>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</si>
  <si>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</si>
  <si>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</si>
  <si>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</si>
  <si>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</si>
  <si>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for fruit</t>
  </si>
  <si>
    <t>Total sales for Vegetables</t>
  </si>
  <si>
    <t>NO Categeory sales</t>
  </si>
  <si>
    <t>bread</t>
  </si>
  <si>
    <t>Banana</t>
  </si>
  <si>
    <t>Total Sales for categeory Clothing in East Region</t>
  </si>
  <si>
    <t>Total Sales region north , category electronic , discount &gt;40%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</si>
</sst>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yyyy\-mm\-dd"/>
    <numFmt numFmtId="168" formatCode="&quot;$&quot;#,##0.00"/>
  </numFmts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1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9" fillId="0" borderId="0" xfId="1"/>
    <xf numFmtId="0" fontId="11" fillId="0" borderId="0" xfId="0" applyFont="1"/>
    <xf numFmtId="0" fontId="3" fillId="0" borderId="0" xfId="0" applyFont="1"/>
    <xf numFmtId="0" fontId="10" fillId="0" borderId="0" xfId="0" applyFont="1"/>
    <xf numFmtId="0" fontId="10" fillId="4" borderId="0" xfId="0" applyFont="1" applyFill="1"/>
    <xf numFmtId="0" fontId="0" fillId="5" borderId="0" xfId="0" applyFill="1"/>
    <xf numFmtId="0" fontId="10" fillId="5" borderId="0" xfId="0" applyFont="1" applyFill="1"/>
    <xf numFmtId="0" fontId="2" fillId="0" borderId="0" xfId="0" applyFont="1"/>
    <xf numFmtId="0" fontId="10" fillId="4" borderId="9" xfId="0" applyFont="1" applyFill="1" applyBorder="1"/>
    <xf numFmtId="0" fontId="3" fillId="0" borderId="9" xfId="0" applyFont="1" applyBorder="1"/>
    <xf numFmtId="0" fontId="0" fillId="0" borderId="9" xfId="0" applyBorder="1"/>
    <xf numFmtId="0" fontId="2" fillId="0" borderId="9" xfId="0" applyFont="1" applyBorder="1"/>
    <xf numFmtId="2" fontId="10" fillId="0" borderId="9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8" fillId="2" borderId="0" xfId="0" applyFont="1" applyFill="1" applyAlignment="1">
      <alignment horizontal="center"/>
    </xf>
    <xf numFmtId="0" fontId="13" fillId="0" borderId="9" xfId="0" applyFont="1" applyBorder="1"/>
    <xf numFmtId="168" fontId="13" fillId="0" borderId="9" xfId="0" applyNumberFormat="1" applyFont="1" applyBorder="1"/>
    <xf numFmtId="0" fontId="14" fillId="6" borderId="1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vertical="top" wrapText="1" indent="1"/>
    </xf>
    <xf numFmtId="6" fontId="15" fillId="7" borderId="0" xfId="0" applyNumberFormat="1" applyFont="1" applyFill="1" applyAlignment="1">
      <alignment vertical="top" wrapText="1" indent="1"/>
    </xf>
    <xf numFmtId="0" fontId="1" fillId="0" borderId="0" xfId="0" applyFont="1"/>
    <xf numFmtId="0" fontId="13" fillId="0" borderId="0" xfId="0" applyFont="1" applyFill="1" applyBorder="1"/>
  </cellXfs>
  <cellStyles count="2">
    <cellStyle name="Hyperlink" xfId="1" builtinId="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D86DCD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5FFC85-EDDB-4E91-A487-D9C4CFFF1485}" name="DMart_Sales_data" displayName="DMart_Sales_data" ref="A1:P499" totalsRowShown="0" headerRowDxfId="24" dataDxfId="23" tableBorderDxfId="22">
  <autoFilter ref="A1:P499" xr:uid="{CB5FFC85-EDDB-4E91-A487-D9C4CFFF1485}"/>
  <sortState xmlns:xlrd2="http://schemas.microsoft.com/office/spreadsheetml/2017/richdata2" ref="A4:O496">
    <sortCondition sortBy="cellColor" ref="H1:H499" dxfId="21"/>
  </sortState>
  <tableColumns count="16">
    <tableColumn id="1" xr3:uid="{7EF49061-0805-4769-8271-BB98A806FB0D}" name="Column1" dataDxfId="20"/>
    <tableColumn id="2" xr3:uid="{C0BAB4D1-3519-4345-9B38-0E6B77682382}" name="Region" dataDxfId="19"/>
    <tableColumn id="15" xr3:uid="{4BEFB056-7F5C-4EFF-A729-C88499B6EA0D}" name="Updated_Result" dataDxfId="18"/>
    <tableColumn id="3" xr3:uid="{B9A26BF6-A552-486C-8696-866C58A5EEDE}" name="Category" dataDxfId="17"/>
    <tableColumn id="4" xr3:uid="{0FB01DF2-7A02-4A3F-BE27-BFAC4E434C5E}" name="sales" dataDxfId="16"/>
    <tableColumn id="16" xr3:uid="{D0D9F295-77BE-4D1B-8996-2AC56A23213A}" name="sales_Range" dataDxfId="15">
      <calculatedColumnFormula>IF(DMart_Sales_data[[#This Row],[sales]]&gt;3000,"High Sales",IF(DMart_Sales_data[[#This Row],[sales]]&gt;1000,"Medium Sales","Low Sales"))</calculatedColumnFormula>
    </tableColumn>
    <tableColumn id="5" xr3:uid="{843A9854-F743-48F8-8E9F-14644F1A11B6}" name="discount" dataDxfId="14"/>
    <tableColumn id="6" xr3:uid="{D50ED9D4-276F-4D61-AFB1-E90B62C26258}" name="quantity" dataDxfId="13"/>
    <tableColumn id="7" xr3:uid="{61772744-09AC-4578-AA34-E7568565FBA6}" name="order_date" dataDxfId="12"/>
    <tableColumn id="8" xr3:uid="{9DB46DCB-43DF-4D26-860D-0BD0C4D6C001}" name="delivery_date" dataDxfId="11"/>
    <tableColumn id="9" xr3:uid="{5B877D5C-8DD9-47E5-9F79-CCC0DF124EBD}" name="customer_type" dataDxfId="10"/>
    <tableColumn id="11" xr3:uid="{1BAD506E-32EE-4674-856A-09B962847C14}" name="payment_mode" dataDxfId="9"/>
    <tableColumn id="12" xr3:uid="{908963C3-FCB9-4B4E-9F8F-9EFD51AB1090}" name="profit" dataDxfId="8"/>
    <tableColumn id="14" xr3:uid="{E115AD45-1FCA-4BB7-894D-A53DD040DB9F}" name="Updated_City" dataDxfId="7"/>
    <tableColumn id="13" xr3:uid="{D6A1E705-8348-43F4-B9B6-C9A1EFAA949B}" name="city" dataDxfId="6"/>
    <tableColumn id="17" xr3:uid="{5F03E30D-E2C6-4394-9F12-DF7070EE5D38}" name="Discount2" dataDxfId="5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bhi@gmail.com" TargetMode="External"/><Relationship Id="rId2" Type="http://schemas.openxmlformats.org/officeDocument/2006/relationships/hyperlink" Target="mailto:suhas@gmail.com" TargetMode="External"/><Relationship Id="rId1" Type="http://schemas.openxmlformats.org/officeDocument/2006/relationships/hyperlink" Target="mailto:riteshramteke03@gmail.com" TargetMode="External"/><Relationship Id="rId4" Type="http://schemas.openxmlformats.org/officeDocument/2006/relationships/hyperlink" Target="mailto:sach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L1" zoomScale="99" zoomScaleNormal="145" workbookViewId="0">
      <selection activeCell="V11" sqref="V11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77734375" bestFit="1" customWidth="1"/>
    <col min="4" max="4" width="10.21875" customWidth="1"/>
    <col min="5" max="5" width="9.6640625" customWidth="1"/>
    <col min="6" max="6" width="16.109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7.77734375" bestFit="1" customWidth="1"/>
    <col min="13" max="13" width="11.33203125" customWidth="1"/>
    <col min="14" max="14" width="16" bestFit="1" customWidth="1"/>
    <col min="15" max="15" width="15" customWidth="1"/>
    <col min="16" max="16" width="13.5546875" bestFit="1" customWidth="1"/>
    <col min="17" max="17" width="8.6640625" customWidth="1"/>
    <col min="18" max="18" width="52.21875" bestFit="1" customWidth="1"/>
    <col min="19" max="19" width="13" customWidth="1"/>
    <col min="20" max="25" width="8.6640625" customWidth="1"/>
  </cols>
  <sheetData>
    <row r="1" spans="1:27" ht="14.25" customHeight="1" x14ac:dyDescent="0.3">
      <c r="A1" s="20" t="s">
        <v>0</v>
      </c>
      <c r="B1" s="21" t="s">
        <v>1</v>
      </c>
      <c r="C1" s="21" t="s">
        <v>575</v>
      </c>
      <c r="D1" s="21" t="s">
        <v>2</v>
      </c>
      <c r="E1" s="21" t="s">
        <v>3</v>
      </c>
      <c r="F1" s="21" t="s">
        <v>630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543</v>
      </c>
      <c r="O1" s="23" t="s">
        <v>11</v>
      </c>
      <c r="P1" s="43" t="s">
        <v>633</v>
      </c>
      <c r="Q1" s="25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2" t="str">
        <f>IF(AND(DMart_Sales_data[[#This Row],[customer_type]]="Member",OR(DMart_Sales_data[[#This Row],[payment_mode]]="UPI",DMart_Sales_data[[#This Row],[payment_mode]]="Card")),"Yes","No")</f>
        <v>Yes</v>
      </c>
      <c r="Q2" s="25"/>
      <c r="R2" s="1"/>
      <c r="S2" s="1" t="s">
        <v>632</v>
      </c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9" t="s">
        <v>576</v>
      </c>
      <c r="C3" s="4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10" t="s">
        <v>79</v>
      </c>
      <c r="O3" s="12" t="s">
        <v>22</v>
      </c>
      <c r="P3" s="2" t="str">
        <f>IF(AND(DMart_Sales_data[[#This Row],[customer_type]]="Member",OR(DMart_Sales_data[[#This Row],[payment_mode]]="UPI",DMart_Sales_data[[#This Row],[payment_mode]]="Card")),"Yes","No")</f>
        <v>No</v>
      </c>
      <c r="Q3" s="25"/>
      <c r="R3" s="1"/>
      <c r="S3" s="1" t="s">
        <v>631</v>
      </c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2" t="str">
        <f>IF(AND(DMart_Sales_data[[#This Row],[customer_type]]="Member",OR(DMart_Sales_data[[#This Row],[payment_mode]]="UPI",DMart_Sales_data[[#This Row],[payment_mode]]="Card")),"Yes","No")</f>
        <v>No</v>
      </c>
      <c r="Q4" s="25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4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2" t="str">
        <f>IF(AND(DMart_Sales_data[[#This Row],[customer_type]]="Member",OR(DMart_Sales_data[[#This Row],[payment_mode]]="UPI",DMart_Sales_data[[#This Row],[payment_mode]]="Card")),"Yes","No")</f>
        <v>Yes</v>
      </c>
      <c r="Q5" s="25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10" t="s">
        <v>17</v>
      </c>
      <c r="O6" s="17" t="s">
        <v>17</v>
      </c>
      <c r="P6" s="2" t="str">
        <f>IF(AND(DMart_Sales_data[[#This Row],[customer_type]]="Member",OR(DMart_Sales_data[[#This Row],[payment_mode]]="UPI",DMart_Sales_data[[#This Row],[payment_mode]]="Card")),"Yes","No")</f>
        <v>No</v>
      </c>
      <c r="Q6" s="25"/>
      <c r="R6" s="44" t="s">
        <v>635</v>
      </c>
      <c r="S6" s="45">
        <f>SUMIF(DMart_Sales_data[payment_mode],"=UPI",DMart_Sales_data[sales])</f>
        <v>386412.25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576</v>
      </c>
      <c r="C7" s="4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2" t="str">
        <f>IF(AND(DMart_Sales_data[[#This Row],[customer_type]]="Member",OR(DMart_Sales_data[[#This Row],[payment_mode]]="UPI",DMart_Sales_data[[#This Row],[payment_mode]]="Card")),"Yes","No")</f>
        <v>Yes</v>
      </c>
      <c r="R7" s="44" t="s">
        <v>636</v>
      </c>
      <c r="S7" s="45">
        <f>SUMIF(DMart_Sales_data[payment_mode],"=Card",DMart_Sales_data[sales])</f>
        <v>413292.63999999996</v>
      </c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2" t="str">
        <f>IF(AND(DMart_Sales_data[[#This Row],[customer_type]]="Member",OR(DMart_Sales_data[[#This Row],[payment_mode]]="UPI",DMart_Sales_data[[#This Row],[payment_mode]]="Card")),"Yes","No")</f>
        <v>No</v>
      </c>
      <c r="R8" s="44" t="s">
        <v>637</v>
      </c>
      <c r="S8" s="45">
        <f>SUMIF(DMart_Sales_data[payment_mode],"=Cash",DMart_Sales_data[sales])</f>
        <v>522964.3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4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2" t="str">
        <f>IF(AND(DMart_Sales_data[[#This Row],[customer_type]]="Member",OR(DMart_Sales_data[[#This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2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50" t="s">
        <v>652</v>
      </c>
      <c r="S10">
        <f>SUMIFS(DMart_Sales_data[sales],DMart_Sales_data[Category],"=Clothing",DMart_Sales_data[Updated_Result],"=East")</f>
        <v>60655.859999999993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576</v>
      </c>
      <c r="C11" s="4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2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10" t="s">
        <v>41</v>
      </c>
      <c r="O12" s="17" t="s">
        <v>44</v>
      </c>
      <c r="P12" s="2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50" t="s">
        <v>653</v>
      </c>
      <c r="S12" s="1">
        <f>SUMIFS(DMart_Sales_data[sales],DMart_Sales_data[Updated_Result],"North",DMart_Sales_data[Category],"Electronics",DMart_Sales_data[discount],"&gt;40%")</f>
        <v>36091.269999999997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4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2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2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576</v>
      </c>
      <c r="C15" s="4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542</v>
      </c>
      <c r="P15" s="2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2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4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2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2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576</v>
      </c>
      <c r="C19" s="4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2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2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4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2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2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576</v>
      </c>
      <c r="C23" s="4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2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2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4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2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2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576</v>
      </c>
      <c r="C27" s="4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2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2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4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2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2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576</v>
      </c>
      <c r="C31" s="4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2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2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4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2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2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576</v>
      </c>
      <c r="C35" s="4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2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2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4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2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2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576</v>
      </c>
      <c r="C39" s="4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2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2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4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2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2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576</v>
      </c>
      <c r="C43" s="4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2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2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4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2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2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576</v>
      </c>
      <c r="C47" s="4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2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2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4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2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2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576</v>
      </c>
      <c r="C51" s="4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2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2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4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2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2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576</v>
      </c>
      <c r="C55" s="4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2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2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4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2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2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576</v>
      </c>
      <c r="C59" s="4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2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2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4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2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2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576</v>
      </c>
      <c r="C63" s="4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2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2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4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2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2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576</v>
      </c>
      <c r="C67" s="4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2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2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4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2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2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576</v>
      </c>
      <c r="C71" s="4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2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2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4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2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2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576</v>
      </c>
      <c r="C75" s="4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2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2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4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2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2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576</v>
      </c>
      <c r="C79" s="4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2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2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4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2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2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576</v>
      </c>
      <c r="C83" s="4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2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2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4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2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2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576</v>
      </c>
      <c r="C87" s="4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2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2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4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2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2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576</v>
      </c>
      <c r="C91" s="4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2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2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4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2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2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576</v>
      </c>
      <c r="C95" s="4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2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2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4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2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2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576</v>
      </c>
      <c r="C99" s="4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2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2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4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2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2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576</v>
      </c>
      <c r="C103" s="4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2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2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4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2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2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576</v>
      </c>
      <c r="C107" s="4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2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2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4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2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2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576</v>
      </c>
      <c r="C111" s="4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2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2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4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2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2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576</v>
      </c>
      <c r="C115" s="4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2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2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4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2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2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576</v>
      </c>
      <c r="C119" s="4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2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2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4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2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2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576</v>
      </c>
      <c r="C123" s="4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2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2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4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2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2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576</v>
      </c>
      <c r="C127" s="4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2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2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4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2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2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576</v>
      </c>
      <c r="C131" s="4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2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2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4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2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2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576</v>
      </c>
      <c r="C135" s="4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2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2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4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2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2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576</v>
      </c>
      <c r="C139" s="4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2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2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4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2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2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576</v>
      </c>
      <c r="C143" s="4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2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2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4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2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2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576</v>
      </c>
      <c r="C147" s="4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2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2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4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2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2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576</v>
      </c>
      <c r="C151" s="4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2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2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4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2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2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576</v>
      </c>
      <c r="C155" s="4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2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2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4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2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2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576</v>
      </c>
      <c r="C159" s="4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2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2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4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2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2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576</v>
      </c>
      <c r="C163" s="4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2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2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4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2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2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576</v>
      </c>
      <c r="C167" s="4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2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2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4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2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2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576</v>
      </c>
      <c r="C171" s="4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2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2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4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2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2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576</v>
      </c>
      <c r="C175" s="4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2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2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4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2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2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576</v>
      </c>
      <c r="C179" s="4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2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2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4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2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2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576</v>
      </c>
      <c r="C183" s="4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2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2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4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2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2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576</v>
      </c>
      <c r="C187" s="4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2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2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4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2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2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576</v>
      </c>
      <c r="C191" s="4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2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2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4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2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2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576</v>
      </c>
      <c r="C195" s="4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2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2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4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2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2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576</v>
      </c>
      <c r="C199" s="4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2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2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4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2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2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576</v>
      </c>
      <c r="C203" s="4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2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2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4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2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2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576</v>
      </c>
      <c r="C207" s="4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2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2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4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2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2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576</v>
      </c>
      <c r="C211" s="4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2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2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4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2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2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576</v>
      </c>
      <c r="C215" s="4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2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2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4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2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2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576</v>
      </c>
      <c r="C219" s="4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2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2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4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2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2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576</v>
      </c>
      <c r="C223" s="4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2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2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4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2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2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576</v>
      </c>
      <c r="C227" s="4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2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2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4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2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2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576</v>
      </c>
      <c r="C231" s="4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2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2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4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2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2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576</v>
      </c>
      <c r="C235" s="4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2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2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4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2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2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576</v>
      </c>
      <c r="C239" s="4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2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2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4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2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2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576</v>
      </c>
      <c r="C243" s="4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2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2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4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2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2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576</v>
      </c>
      <c r="C247" s="4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2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2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4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2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2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576</v>
      </c>
      <c r="C251" s="4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2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2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4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2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2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576</v>
      </c>
      <c r="C255" s="4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2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2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4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2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2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576</v>
      </c>
      <c r="C259" s="4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2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2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4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2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2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576</v>
      </c>
      <c r="C263" s="4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2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2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4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2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2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576</v>
      </c>
      <c r="C267" s="4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2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2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4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2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2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576</v>
      </c>
      <c r="C271" s="4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2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2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4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2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2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576</v>
      </c>
      <c r="C275" s="4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2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2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4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2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2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576</v>
      </c>
      <c r="C279" s="4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2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2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4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2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2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576</v>
      </c>
      <c r="C283" s="4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2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2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4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2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2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576</v>
      </c>
      <c r="C287" s="4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2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2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4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2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2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576</v>
      </c>
      <c r="C291" s="4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2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2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4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2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2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576</v>
      </c>
      <c r="C295" s="4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2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2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4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2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2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576</v>
      </c>
      <c r="C299" s="4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2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2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4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2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2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576</v>
      </c>
      <c r="C303" s="4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2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2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4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2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2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576</v>
      </c>
      <c r="C307" s="4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2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2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4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2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2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576</v>
      </c>
      <c r="C311" s="4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2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2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4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2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2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576</v>
      </c>
      <c r="C315" s="4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2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2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4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2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2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576</v>
      </c>
      <c r="C319" s="4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2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2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4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2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2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576</v>
      </c>
      <c r="C323" s="4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2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2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4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2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2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576</v>
      </c>
      <c r="C327" s="4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2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2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4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2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2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576</v>
      </c>
      <c r="C331" s="4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2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2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4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2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2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576</v>
      </c>
      <c r="C335" s="4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2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2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4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2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2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576</v>
      </c>
      <c r="C339" s="4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2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2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4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2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2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576</v>
      </c>
      <c r="C343" s="4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2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2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4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2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2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576</v>
      </c>
      <c r="C347" s="4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2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2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4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2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2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576</v>
      </c>
      <c r="C351" s="4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2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2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4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2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2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576</v>
      </c>
      <c r="C355" s="4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2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2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4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2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2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576</v>
      </c>
      <c r="C359" s="4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2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2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4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2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2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576</v>
      </c>
      <c r="C363" s="4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2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2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4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2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2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576</v>
      </c>
      <c r="C367" s="4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2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2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4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2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2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576</v>
      </c>
      <c r="C371" s="4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2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2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4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2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2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576</v>
      </c>
      <c r="C375" s="4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2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2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4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2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2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576</v>
      </c>
      <c r="C379" s="4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2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2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4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2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2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576</v>
      </c>
      <c r="C383" s="4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2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2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4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2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2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576</v>
      </c>
      <c r="C387" s="4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2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2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4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2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2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576</v>
      </c>
      <c r="C391" s="4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2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2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4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2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2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576</v>
      </c>
      <c r="C395" s="4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2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2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4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2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2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576</v>
      </c>
      <c r="C399" s="4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2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2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4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2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2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576</v>
      </c>
      <c r="C403" s="4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2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2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4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2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2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576</v>
      </c>
      <c r="C407" s="4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2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2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4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2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2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576</v>
      </c>
      <c r="C411" s="4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2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2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4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2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2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576</v>
      </c>
      <c r="C415" s="4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2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2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4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2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2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576</v>
      </c>
      <c r="C419" s="4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2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2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4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2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2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576</v>
      </c>
      <c r="C423" s="4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2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2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4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2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2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576</v>
      </c>
      <c r="C427" s="4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2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2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4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2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2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576</v>
      </c>
      <c r="C431" s="4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2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2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4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2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2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576</v>
      </c>
      <c r="C435" s="4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2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2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4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2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2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576</v>
      </c>
      <c r="C439" s="4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2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2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4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2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2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576</v>
      </c>
      <c r="C443" s="4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2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2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4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2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2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576</v>
      </c>
      <c r="C447" s="4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2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2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4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2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2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576</v>
      </c>
      <c r="C451" s="4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2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2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4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2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2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576</v>
      </c>
      <c r="C455" s="4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2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2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4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2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2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576</v>
      </c>
      <c r="C459" s="4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2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2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4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2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2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576</v>
      </c>
      <c r="C463" s="4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2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2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4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2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2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576</v>
      </c>
      <c r="C467" s="4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2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2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4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2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2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576</v>
      </c>
      <c r="C471" s="4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2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2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4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2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2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576</v>
      </c>
      <c r="C475" s="4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2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2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4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2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2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576</v>
      </c>
      <c r="C479" s="4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2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2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4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2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2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576</v>
      </c>
      <c r="C483" s="4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2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2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4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2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2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576</v>
      </c>
      <c r="C487" s="4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2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2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4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2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2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576</v>
      </c>
      <c r="C491" s="4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2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2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4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2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2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576</v>
      </c>
      <c r="C495" s="4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2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2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4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2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2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576</v>
      </c>
      <c r="C499" s="4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2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6" type="noConversion"/>
  <conditionalFormatting sqref="E1:F1048576">
    <cfRule type="top10" dxfId="4" priority="5" bottom="1" rank="10"/>
    <cfRule type="top10" dxfId="3" priority="6" rank="10"/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80EDA-8FF2-48C2-BF4C-4E03317F8CE3}">
  <dimension ref="B1:H10"/>
  <sheetViews>
    <sheetView workbookViewId="0">
      <selection activeCell="H6" sqref="H6"/>
    </sheetView>
  </sheetViews>
  <sheetFormatPr defaultRowHeight="14.4" x14ac:dyDescent="0.3"/>
  <cols>
    <col min="2" max="2" width="12.88671875" customWidth="1"/>
    <col min="3" max="3" width="14" customWidth="1"/>
    <col min="4" max="4" width="11.77734375" customWidth="1"/>
    <col min="7" max="7" width="21.5546875" bestFit="1" customWidth="1"/>
  </cols>
  <sheetData>
    <row r="1" spans="2:8" ht="15" thickBot="1" x14ac:dyDescent="0.35"/>
    <row r="2" spans="2:8" ht="41.4" thickBot="1" x14ac:dyDescent="0.35">
      <c r="B2" s="46" t="s">
        <v>2</v>
      </c>
      <c r="C2" s="46" t="s">
        <v>638</v>
      </c>
      <c r="D2" s="46" t="s">
        <v>577</v>
      </c>
    </row>
    <row r="3" spans="2:8" ht="30" x14ac:dyDescent="0.3">
      <c r="B3" s="47" t="s">
        <v>639</v>
      </c>
      <c r="C3" s="47" t="s">
        <v>640</v>
      </c>
      <c r="D3" s="48">
        <v>2300</v>
      </c>
      <c r="G3" s="49" t="s">
        <v>647</v>
      </c>
      <c r="H3">
        <f>SUMIF(B3:B10,"Fruits",D3:D10)</f>
        <v>2000</v>
      </c>
    </row>
    <row r="4" spans="2:8" ht="15" x14ac:dyDescent="0.3">
      <c r="B4" s="47" t="s">
        <v>639</v>
      </c>
      <c r="C4" s="47" t="s">
        <v>641</v>
      </c>
      <c r="D4" s="48">
        <v>5500</v>
      </c>
      <c r="G4" s="49" t="s">
        <v>648</v>
      </c>
      <c r="H4">
        <f>SUMIF(B3:B10,"Vegetables",D3:D10)</f>
        <v>12000</v>
      </c>
    </row>
    <row r="5" spans="2:8" ht="15" x14ac:dyDescent="0.3">
      <c r="B5" s="47" t="s">
        <v>642</v>
      </c>
      <c r="C5" s="47" t="s">
        <v>643</v>
      </c>
      <c r="D5" s="48">
        <v>800</v>
      </c>
      <c r="G5" s="49" t="s">
        <v>649</v>
      </c>
      <c r="H5">
        <f>SUMIF(B3:B10,"",D3:D10)</f>
        <v>1900</v>
      </c>
    </row>
    <row r="6" spans="2:8" ht="15" x14ac:dyDescent="0.3">
      <c r="B6" s="47"/>
      <c r="C6" s="47" t="s">
        <v>644</v>
      </c>
      <c r="D6" s="48">
        <v>400</v>
      </c>
    </row>
    <row r="7" spans="2:8" ht="15" x14ac:dyDescent="0.3">
      <c r="B7" s="47" t="s">
        <v>639</v>
      </c>
      <c r="C7" s="47" t="s">
        <v>645</v>
      </c>
      <c r="D7" s="48">
        <v>4200</v>
      </c>
    </row>
    <row r="8" spans="2:8" ht="15" x14ac:dyDescent="0.3">
      <c r="B8" s="47"/>
      <c r="C8" s="47" t="s">
        <v>650</v>
      </c>
      <c r="D8" s="48">
        <v>1000</v>
      </c>
    </row>
    <row r="9" spans="2:8" ht="15" x14ac:dyDescent="0.3">
      <c r="B9" s="47"/>
      <c r="C9" s="47" t="s">
        <v>651</v>
      </c>
      <c r="D9" s="48">
        <v>500</v>
      </c>
    </row>
    <row r="10" spans="2:8" ht="15" x14ac:dyDescent="0.3">
      <c r="B10" s="47" t="s">
        <v>642</v>
      </c>
      <c r="C10" s="47" t="s">
        <v>646</v>
      </c>
      <c r="D10" s="48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79" workbookViewId="0">
      <selection activeCell="C9" sqref="C9"/>
    </sheetView>
  </sheetViews>
  <sheetFormatPr defaultRowHeight="14.4" x14ac:dyDescent="0.3"/>
  <cols>
    <col min="1" max="1" width="9.77734375" bestFit="1" customWidth="1"/>
    <col min="2" max="2" width="10.109375" bestFit="1" customWidth="1"/>
    <col min="3" max="3" width="13.6640625" bestFit="1" customWidth="1"/>
    <col min="4" max="4" width="23" bestFit="1" customWidth="1"/>
    <col min="6" max="6" width="14.21875" bestFit="1" customWidth="1"/>
  </cols>
  <sheetData>
    <row r="1" spans="1:7" x14ac:dyDescent="0.3">
      <c r="A1" t="s">
        <v>544</v>
      </c>
      <c r="B1" t="s">
        <v>545</v>
      </c>
      <c r="C1" t="s">
        <v>546</v>
      </c>
      <c r="D1" t="s">
        <v>559</v>
      </c>
      <c r="E1" t="s">
        <v>563</v>
      </c>
      <c r="F1" t="s">
        <v>569</v>
      </c>
      <c r="G1" t="s">
        <v>574</v>
      </c>
    </row>
    <row r="2" spans="1:7" x14ac:dyDescent="0.3">
      <c r="A2" t="s">
        <v>547</v>
      </c>
      <c r="B2" t="s">
        <v>548</v>
      </c>
      <c r="C2" t="s">
        <v>555</v>
      </c>
      <c r="D2" s="24" t="s">
        <v>565</v>
      </c>
      <c r="E2" t="s">
        <v>566</v>
      </c>
      <c r="F2" t="s">
        <v>570</v>
      </c>
    </row>
    <row r="3" spans="1:7" x14ac:dyDescent="0.3">
      <c r="A3" t="s">
        <v>549</v>
      </c>
      <c r="B3" t="s">
        <v>550</v>
      </c>
      <c r="C3" t="s">
        <v>556</v>
      </c>
      <c r="D3" s="24" t="s">
        <v>560</v>
      </c>
      <c r="E3" t="s">
        <v>567</v>
      </c>
      <c r="F3" t="s">
        <v>571</v>
      </c>
    </row>
    <row r="4" spans="1:7" x14ac:dyDescent="0.3">
      <c r="A4" t="s">
        <v>551</v>
      </c>
      <c r="B4" t="s">
        <v>552</v>
      </c>
      <c r="C4" t="s">
        <v>557</v>
      </c>
      <c r="D4" s="24" t="s">
        <v>561</v>
      </c>
      <c r="E4" t="s">
        <v>564</v>
      </c>
      <c r="F4" t="s">
        <v>572</v>
      </c>
    </row>
    <row r="5" spans="1:7" x14ac:dyDescent="0.3">
      <c r="A5" t="s">
        <v>553</v>
      </c>
      <c r="B5" t="s">
        <v>554</v>
      </c>
      <c r="C5" t="s">
        <v>558</v>
      </c>
      <c r="D5" s="24" t="s">
        <v>562</v>
      </c>
      <c r="E5" t="s">
        <v>568</v>
      </c>
      <c r="F5" t="s">
        <v>573</v>
      </c>
    </row>
  </sheetData>
  <hyperlinks>
    <hyperlink ref="D2" r:id="rId1" xr:uid="{251C1345-C753-4A5E-9CF9-4EE057952DBE}"/>
    <hyperlink ref="D3" r:id="rId2" xr:uid="{DB2D2C3F-B4AC-4B0D-9427-A4D019201EB2}"/>
    <hyperlink ref="D4" r:id="rId3" xr:uid="{0C22EFD7-CA78-42BB-9118-E3DC647F9DFC}"/>
    <hyperlink ref="D5" r:id="rId4" xr:uid="{F432DDC1-1E5C-44B2-82FF-8526B4B77EC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P14"/>
  <sheetViews>
    <sheetView zoomScaleNormal="100" workbookViewId="0">
      <selection activeCell="G1" sqref="G1:H4"/>
    </sheetView>
  </sheetViews>
  <sheetFormatPr defaultRowHeight="14.4" x14ac:dyDescent="0.3"/>
  <cols>
    <col min="1" max="1" width="14.44140625" bestFit="1" customWidth="1"/>
    <col min="2" max="2" width="14.109375" bestFit="1" customWidth="1"/>
    <col min="3" max="3" width="10" bestFit="1" customWidth="1"/>
    <col min="4" max="4" width="6" bestFit="1" customWidth="1"/>
    <col min="5" max="5" width="14.5546875" bestFit="1" customWidth="1"/>
    <col min="10" max="10" width="12.5546875" bestFit="1" customWidth="1"/>
    <col min="11" max="11" width="6.109375" bestFit="1" customWidth="1"/>
  </cols>
  <sheetData>
    <row r="1" spans="1:16" x14ac:dyDescent="0.3">
      <c r="A1" s="27" t="s">
        <v>582</v>
      </c>
      <c r="C1" s="28" t="s">
        <v>583</v>
      </c>
      <c r="D1" s="28" t="s">
        <v>577</v>
      </c>
      <c r="E1" s="28" t="s">
        <v>596</v>
      </c>
      <c r="G1" s="28" t="s">
        <v>598</v>
      </c>
      <c r="H1" s="28" t="s">
        <v>599</v>
      </c>
      <c r="I1" s="28" t="s">
        <v>600</v>
      </c>
      <c r="J1" s="28" t="s">
        <v>601</v>
      </c>
      <c r="K1" s="28" t="s">
        <v>602</v>
      </c>
      <c r="L1" s="28"/>
      <c r="O1" s="29" t="s">
        <v>583</v>
      </c>
      <c r="P1" s="29" t="s">
        <v>577</v>
      </c>
    </row>
    <row r="2" spans="1:16" x14ac:dyDescent="0.3">
      <c r="A2" s="26" t="s">
        <v>549</v>
      </c>
      <c r="C2" s="26" t="s">
        <v>589</v>
      </c>
      <c r="D2">
        <v>23454</v>
      </c>
      <c r="E2" t="str" cm="1">
        <f t="array" ref="E2:E8">IF(D2:D8&gt;50000,"Yes","No")</f>
        <v>No</v>
      </c>
      <c r="G2" s="26" t="s">
        <v>549</v>
      </c>
      <c r="H2">
        <v>87</v>
      </c>
      <c r="I2">
        <v>67</v>
      </c>
      <c r="J2">
        <v>56</v>
      </c>
      <c r="K2" t="str">
        <f>IF(AND(H2&gt;=75,I2&gt;=75),"A+","A")</f>
        <v>A</v>
      </c>
      <c r="O2" t="s">
        <v>589</v>
      </c>
      <c r="P2">
        <v>23454</v>
      </c>
    </row>
    <row r="3" spans="1:16" x14ac:dyDescent="0.3">
      <c r="A3" s="26" t="s">
        <v>579</v>
      </c>
      <c r="C3" s="26" t="s">
        <v>588</v>
      </c>
      <c r="D3">
        <v>56567</v>
      </c>
      <c r="E3" t="str">
        <v>Yes</v>
      </c>
      <c r="G3" s="26" t="s">
        <v>580</v>
      </c>
      <c r="H3">
        <v>98</v>
      </c>
      <c r="I3">
        <v>65</v>
      </c>
      <c r="J3">
        <v>45</v>
      </c>
      <c r="K3" t="str">
        <f t="shared" ref="K3:K4" si="0">IF(AND(H3&gt;=75,I3&gt;=75),"A+","A")</f>
        <v>A</v>
      </c>
      <c r="O3" t="s">
        <v>588</v>
      </c>
      <c r="P3">
        <v>56567</v>
      </c>
    </row>
    <row r="4" spans="1:16" x14ac:dyDescent="0.3">
      <c r="A4" s="26" t="s">
        <v>580</v>
      </c>
      <c r="C4" s="26" t="s">
        <v>584</v>
      </c>
      <c r="D4">
        <v>76856</v>
      </c>
      <c r="E4" t="str">
        <v>Yes</v>
      </c>
      <c r="G4" s="26" t="s">
        <v>603</v>
      </c>
      <c r="H4">
        <v>98</v>
      </c>
      <c r="I4">
        <v>89</v>
      </c>
      <c r="J4">
        <v>78</v>
      </c>
      <c r="K4" t="str">
        <f t="shared" si="0"/>
        <v>A+</v>
      </c>
      <c r="O4" t="s">
        <v>584</v>
      </c>
      <c r="P4">
        <v>76856</v>
      </c>
    </row>
    <row r="5" spans="1:16" x14ac:dyDescent="0.3">
      <c r="A5" s="26" t="s">
        <v>581</v>
      </c>
      <c r="C5" s="26" t="s">
        <v>585</v>
      </c>
      <c r="D5">
        <v>76756</v>
      </c>
      <c r="E5" t="str">
        <v>Yes</v>
      </c>
      <c r="O5" t="s">
        <v>585</v>
      </c>
      <c r="P5">
        <v>76756</v>
      </c>
    </row>
    <row r="6" spans="1:16" x14ac:dyDescent="0.3">
      <c r="C6" s="26" t="s">
        <v>586</v>
      </c>
      <c r="D6">
        <v>56456</v>
      </c>
      <c r="E6" t="str">
        <v>Yes</v>
      </c>
      <c r="O6" t="s">
        <v>586</v>
      </c>
      <c r="P6">
        <v>56456</v>
      </c>
    </row>
    <row r="7" spans="1:16" x14ac:dyDescent="0.3">
      <c r="C7" s="26" t="s">
        <v>591</v>
      </c>
      <c r="D7">
        <v>67645</v>
      </c>
      <c r="E7" t="str">
        <v>Yes</v>
      </c>
      <c r="H7" s="26" t="s">
        <v>604</v>
      </c>
      <c r="I7" s="26" t="s">
        <v>605</v>
      </c>
      <c r="J7" s="26" t="s">
        <v>607</v>
      </c>
      <c r="O7" t="s">
        <v>591</v>
      </c>
      <c r="P7">
        <v>67645</v>
      </c>
    </row>
    <row r="8" spans="1:16" x14ac:dyDescent="0.3">
      <c r="C8" s="26" t="s">
        <v>590</v>
      </c>
      <c r="D8">
        <v>49000</v>
      </c>
      <c r="E8" t="str">
        <v>No</v>
      </c>
      <c r="H8" s="26" t="s">
        <v>606</v>
      </c>
      <c r="O8" t="s">
        <v>590</v>
      </c>
      <c r="P8">
        <v>65589</v>
      </c>
    </row>
    <row r="10" spans="1:16" x14ac:dyDescent="0.3">
      <c r="C10" s="26" t="s">
        <v>597</v>
      </c>
      <c r="D10">
        <v>50000</v>
      </c>
    </row>
    <row r="11" spans="1:16" x14ac:dyDescent="0.3">
      <c r="G11" s="30" t="s">
        <v>598</v>
      </c>
      <c r="H11" s="30" t="s">
        <v>608</v>
      </c>
      <c r="I11" s="30" t="s">
        <v>609</v>
      </c>
      <c r="J11" s="30" t="s">
        <v>612</v>
      </c>
    </row>
    <row r="12" spans="1:16" x14ac:dyDescent="0.3">
      <c r="G12" s="26" t="s">
        <v>549</v>
      </c>
      <c r="H12" s="26" t="s">
        <v>610</v>
      </c>
      <c r="I12">
        <v>90</v>
      </c>
      <c r="J12" t="str">
        <f>IF(AND(H12="Nagpur",I12&gt;=75),"Shortlisted","NotShortlisted")</f>
        <v>Shortlisted</v>
      </c>
    </row>
    <row r="13" spans="1:16" x14ac:dyDescent="0.3">
      <c r="G13" s="26" t="s">
        <v>580</v>
      </c>
      <c r="H13" s="26" t="s">
        <v>27</v>
      </c>
      <c r="I13">
        <v>96</v>
      </c>
      <c r="J13" t="str">
        <f>IF(AND(H13="Nagpur",I13=75),"Shortlisted","NotShortlisted")</f>
        <v>NotShortlisted</v>
      </c>
    </row>
    <row r="14" spans="1:16" x14ac:dyDescent="0.3">
      <c r="G14" s="26" t="s">
        <v>603</v>
      </c>
      <c r="H14" s="26" t="s">
        <v>611</v>
      </c>
      <c r="I14">
        <v>78</v>
      </c>
    </row>
  </sheetData>
  <sortState xmlns:xlrd2="http://schemas.microsoft.com/office/spreadsheetml/2017/richdata2" ref="C2:D8">
    <sortCondition ref="C2:C8" customList="January,February,March,April,May,June,July,August,September,October,November,December"/>
  </sortState>
  <phoneticPr fontId="12" type="noConversion"/>
  <conditionalFormatting sqref="D2:D8">
    <cfRule type="cellIs" dxfId="1" priority="1" operator="lessThan">
      <formula>50000</formula>
    </cfRule>
    <cfRule type="cellIs" dxfId="0" priority="3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C12"/>
  <sheetViews>
    <sheetView zoomScale="118" workbookViewId="0">
      <selection activeCell="D14" sqref="D14"/>
    </sheetView>
  </sheetViews>
  <sheetFormatPr defaultRowHeight="14.4" x14ac:dyDescent="0.3"/>
  <cols>
    <col min="1" max="1" width="11.44140625" bestFit="1" customWidth="1"/>
  </cols>
  <sheetData>
    <row r="1" spans="1:3" x14ac:dyDescent="0.3">
      <c r="A1" s="26" t="s">
        <v>589</v>
      </c>
      <c r="C1" s="26" t="s">
        <v>578</v>
      </c>
    </row>
    <row r="2" spans="1:3" x14ac:dyDescent="0.3">
      <c r="A2" s="26" t="s">
        <v>588</v>
      </c>
      <c r="C2" s="26" t="s">
        <v>549</v>
      </c>
    </row>
    <row r="3" spans="1:3" x14ac:dyDescent="0.3">
      <c r="A3" s="26" t="s">
        <v>584</v>
      </c>
      <c r="C3" s="26" t="s">
        <v>579</v>
      </c>
    </row>
    <row r="4" spans="1:3" x14ac:dyDescent="0.3">
      <c r="A4" s="26" t="s">
        <v>585</v>
      </c>
      <c r="C4" s="26" t="s">
        <v>580</v>
      </c>
    </row>
    <row r="5" spans="1:3" x14ac:dyDescent="0.3">
      <c r="A5" s="26" t="s">
        <v>586</v>
      </c>
      <c r="C5" s="26" t="s">
        <v>581</v>
      </c>
    </row>
    <row r="6" spans="1:3" x14ac:dyDescent="0.3">
      <c r="A6" s="26" t="s">
        <v>587</v>
      </c>
      <c r="C6" s="26"/>
    </row>
    <row r="7" spans="1:3" x14ac:dyDescent="0.3">
      <c r="A7" s="26" t="s">
        <v>591</v>
      </c>
    </row>
    <row r="8" spans="1:3" x14ac:dyDescent="0.3">
      <c r="A8" s="26" t="s">
        <v>592</v>
      </c>
    </row>
    <row r="9" spans="1:3" x14ac:dyDescent="0.3">
      <c r="A9" s="26" t="s">
        <v>590</v>
      </c>
    </row>
    <row r="10" spans="1:3" x14ac:dyDescent="0.3">
      <c r="A10" s="26" t="s">
        <v>593</v>
      </c>
    </row>
    <row r="11" spans="1:3" x14ac:dyDescent="0.3">
      <c r="A11" s="26" t="s">
        <v>594</v>
      </c>
    </row>
    <row r="12" spans="1:3" x14ac:dyDescent="0.3">
      <c r="A12" s="26" t="s">
        <v>595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E088A-D95A-4C0D-9843-00AD75E4B63B}">
  <dimension ref="B3:H38"/>
  <sheetViews>
    <sheetView zoomScale="109" workbookViewId="0">
      <selection activeCell="J11" sqref="J11"/>
    </sheetView>
  </sheetViews>
  <sheetFormatPr defaultRowHeight="14.4" x14ac:dyDescent="0.3"/>
  <cols>
    <col min="4" max="4" width="20.44140625" bestFit="1" customWidth="1"/>
    <col min="5" max="5" width="15.6640625" customWidth="1"/>
    <col min="6" max="6" width="9.88671875" customWidth="1"/>
    <col min="7" max="7" width="13.44140625" bestFit="1" customWidth="1"/>
    <col min="10" max="10" width="11.44140625" bestFit="1" customWidth="1"/>
  </cols>
  <sheetData>
    <row r="3" spans="2:8" x14ac:dyDescent="0.3">
      <c r="B3" s="32" t="s">
        <v>598</v>
      </c>
      <c r="C3" s="32" t="s">
        <v>609</v>
      </c>
      <c r="D3" s="32" t="s">
        <v>602</v>
      </c>
      <c r="F3" s="37" t="s">
        <v>613</v>
      </c>
      <c r="G3" s="38" t="s">
        <v>616</v>
      </c>
    </row>
    <row r="4" spans="2:8" x14ac:dyDescent="0.3">
      <c r="B4" s="33" t="s">
        <v>549</v>
      </c>
      <c r="C4" s="34">
        <v>90</v>
      </c>
      <c r="D4" s="34" t="str">
        <f>IF(C4&gt;=90,"A++",IF(C4&gt;=75,"A+",IF(C4&gt;=60,"A",IF(C4&gt;40,"B","Fail"))))</f>
        <v>A++</v>
      </c>
      <c r="F4" s="39" t="s">
        <v>614</v>
      </c>
      <c r="G4" s="40" t="s">
        <v>604</v>
      </c>
    </row>
    <row r="5" spans="2:8" x14ac:dyDescent="0.3">
      <c r="B5" s="33" t="s">
        <v>580</v>
      </c>
      <c r="C5" s="34">
        <v>36</v>
      </c>
      <c r="D5" s="34" t="str">
        <f>IF(C5&gt;=90,"A++",IF(C5&gt;=75,"A+",IF(C5&gt;=60,"A",IF(C5&gt;40,"B","Fail"))))</f>
        <v>Fail</v>
      </c>
      <c r="F5" s="39" t="s">
        <v>615</v>
      </c>
      <c r="G5" s="40" t="s">
        <v>617</v>
      </c>
    </row>
    <row r="6" spans="2:8" x14ac:dyDescent="0.3">
      <c r="B6" s="33" t="s">
        <v>603</v>
      </c>
      <c r="C6" s="34">
        <v>88</v>
      </c>
      <c r="D6" s="34" t="str">
        <f t="shared" ref="D6:D8" si="0">IF(C6&gt;=90,"A++",IF(C6&gt;=75,"A+",IF(C6&gt;=60,"A",IF(C6&gt;40,"B","Fail"))))</f>
        <v>A+</v>
      </c>
      <c r="F6" s="39" t="s">
        <v>618</v>
      </c>
      <c r="G6" s="40" t="s">
        <v>606</v>
      </c>
    </row>
    <row r="7" spans="2:8" x14ac:dyDescent="0.3">
      <c r="B7" s="35" t="s">
        <v>547</v>
      </c>
      <c r="C7" s="34">
        <v>50</v>
      </c>
      <c r="D7" s="34" t="str">
        <f t="shared" si="0"/>
        <v>B</v>
      </c>
      <c r="F7" s="41" t="s">
        <v>619</v>
      </c>
      <c r="G7" s="42" t="s">
        <v>620</v>
      </c>
    </row>
    <row r="8" spans="2:8" x14ac:dyDescent="0.3">
      <c r="B8" s="35" t="s">
        <v>621</v>
      </c>
      <c r="C8" s="34">
        <v>62</v>
      </c>
      <c r="D8" s="34" t="str">
        <f t="shared" si="0"/>
        <v>A</v>
      </c>
    </row>
    <row r="12" spans="2:8" x14ac:dyDescent="0.3">
      <c r="B12" s="32" t="s">
        <v>598</v>
      </c>
      <c r="C12" s="32" t="s">
        <v>577</v>
      </c>
      <c r="D12" s="32" t="s">
        <v>622</v>
      </c>
      <c r="E12" s="32" t="s">
        <v>625</v>
      </c>
      <c r="G12" s="37" t="s">
        <v>626</v>
      </c>
      <c r="H12" s="38" t="s">
        <v>622</v>
      </c>
    </row>
    <row r="13" spans="2:8" x14ac:dyDescent="0.3">
      <c r="B13" s="33" t="s">
        <v>549</v>
      </c>
      <c r="C13" s="34">
        <v>70000</v>
      </c>
      <c r="D13" s="36">
        <f>IF(C13&gt;=$G$13,15%,IF(C13&gt;=$G$14,10%,IF(C13&gt;=$G$15,5%,0%)))</f>
        <v>0.1</v>
      </c>
      <c r="E13" s="34">
        <f>C13*D13</f>
        <v>7000</v>
      </c>
      <c r="G13" s="39">
        <v>75000</v>
      </c>
      <c r="H13" s="40">
        <v>15</v>
      </c>
    </row>
    <row r="14" spans="2:8" x14ac:dyDescent="0.3">
      <c r="B14" s="33" t="s">
        <v>580</v>
      </c>
      <c r="C14" s="34">
        <v>50000</v>
      </c>
      <c r="D14" s="36">
        <f>IF(C14&gt;=$G$13,15%,IF(C14&gt;=$G$14,10%,IF(C14&gt;=$G$15,5%,0%)))</f>
        <v>0.05</v>
      </c>
      <c r="E14" s="34">
        <f>C14*D14</f>
        <v>2500</v>
      </c>
      <c r="G14" s="39">
        <v>70000</v>
      </c>
      <c r="H14" s="40">
        <v>10</v>
      </c>
    </row>
    <row r="15" spans="2:8" x14ac:dyDescent="0.3">
      <c r="B15" s="33" t="s">
        <v>603</v>
      </c>
      <c r="C15" s="34">
        <v>45000</v>
      </c>
      <c r="D15" s="36">
        <f>IF(C15&gt;=$G$13,15%,IF(C15&gt;=$G$14,10%,IF(C15&gt;=$G$15,5%,0%)))</f>
        <v>0</v>
      </c>
      <c r="E15" s="34">
        <f>C15*D15</f>
        <v>0</v>
      </c>
      <c r="G15" s="39">
        <v>50000</v>
      </c>
      <c r="H15" s="40">
        <v>5</v>
      </c>
    </row>
    <row r="16" spans="2:8" x14ac:dyDescent="0.3">
      <c r="B16" s="35" t="s">
        <v>547</v>
      </c>
      <c r="C16" s="34">
        <v>75000</v>
      </c>
      <c r="D16" s="36">
        <f>IF(C16&gt;=$G$13,15%,IF(C16&gt;=$G$14,10%,IF(C16&gt;=$G$15,5%,0%)))</f>
        <v>0.15</v>
      </c>
      <c r="E16" s="34">
        <f>C16*D16</f>
        <v>11250</v>
      </c>
      <c r="G16" s="41" t="s">
        <v>623</v>
      </c>
      <c r="H16" s="42" t="s">
        <v>624</v>
      </c>
    </row>
    <row r="17" spans="2:5" x14ac:dyDescent="0.3">
      <c r="B17" s="35" t="s">
        <v>621</v>
      </c>
      <c r="C17" s="34">
        <v>55000</v>
      </c>
      <c r="D17" s="36">
        <f>IF(C17&gt;=$G$13,15%,IF(C17&gt;=$G$14,10%,IF(C17&gt;=$G$15,5%,0%)))</f>
        <v>0.05</v>
      </c>
      <c r="E17" s="34">
        <f>C17*D17</f>
        <v>2750</v>
      </c>
    </row>
    <row r="19" spans="2:5" x14ac:dyDescent="0.3">
      <c r="D19" s="27" t="s">
        <v>634</v>
      </c>
      <c r="E19">
        <f>SUMIF(C13:C17,"&gt;50000",C13:C17)</f>
        <v>200000</v>
      </c>
    </row>
    <row r="34" spans="4:6" x14ac:dyDescent="0.3">
      <c r="D34" s="31" t="s">
        <v>627</v>
      </c>
      <c r="E34" s="31" t="s">
        <v>628</v>
      </c>
      <c r="F34" s="31" t="s">
        <v>629</v>
      </c>
    </row>
    <row r="35" spans="4:6" x14ac:dyDescent="0.3">
      <c r="D35">
        <v>27</v>
      </c>
      <c r="E35">
        <v>7</v>
      </c>
      <c r="F35">
        <f>IFERROR(D35/E35,"Division By Zero")</f>
        <v>3.8571428571428572</v>
      </c>
    </row>
    <row r="36" spans="4:6" x14ac:dyDescent="0.3">
      <c r="D36">
        <v>65</v>
      </c>
      <c r="E36">
        <v>4</v>
      </c>
      <c r="F36">
        <f t="shared" ref="F36:F37" si="1">IFERROR(D36/E36,"Division By Zero")</f>
        <v>16.25</v>
      </c>
    </row>
    <row r="37" spans="4:6" x14ac:dyDescent="0.3">
      <c r="D37">
        <v>56</v>
      </c>
      <c r="E37">
        <v>8</v>
      </c>
      <c r="F37">
        <f t="shared" si="1"/>
        <v>7</v>
      </c>
    </row>
    <row r="38" spans="4:6" x14ac:dyDescent="0.3">
      <c r="D38">
        <v>43</v>
      </c>
      <c r="E38">
        <v>0</v>
      </c>
      <c r="F38" t="str">
        <f>IFERROR(D38/E38,"Can not Division By 0")</f>
        <v>Can not Division By 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FE236-3953-4E80-94B6-5B72F4EC6BD0}">
  <dimension ref="A1:A12"/>
  <sheetViews>
    <sheetView workbookViewId="0">
      <selection activeCell="D14" sqref="D14"/>
    </sheetView>
  </sheetViews>
  <sheetFormatPr defaultRowHeight="14.4" x14ac:dyDescent="0.3"/>
  <sheetData>
    <row r="1" spans="1:1" x14ac:dyDescent="0.3">
      <c r="A1" s="26" t="s">
        <v>589</v>
      </c>
    </row>
    <row r="2" spans="1:1" x14ac:dyDescent="0.3">
      <c r="A2" s="26" t="s">
        <v>588</v>
      </c>
    </row>
    <row r="3" spans="1:1" x14ac:dyDescent="0.3">
      <c r="A3" s="26" t="s">
        <v>584</v>
      </c>
    </row>
    <row r="4" spans="1:1" x14ac:dyDescent="0.3">
      <c r="A4" s="26" t="s">
        <v>585</v>
      </c>
    </row>
    <row r="5" spans="1:1" x14ac:dyDescent="0.3">
      <c r="A5" s="26" t="s">
        <v>586</v>
      </c>
    </row>
    <row r="6" spans="1:1" x14ac:dyDescent="0.3">
      <c r="A6" s="26" t="s">
        <v>587</v>
      </c>
    </row>
    <row r="7" spans="1:1" x14ac:dyDescent="0.3">
      <c r="A7" s="26" t="s">
        <v>591</v>
      </c>
    </row>
    <row r="8" spans="1:1" x14ac:dyDescent="0.3">
      <c r="A8" s="26" t="s">
        <v>592</v>
      </c>
    </row>
    <row r="9" spans="1:1" x14ac:dyDescent="0.3">
      <c r="A9" s="26" t="s">
        <v>590</v>
      </c>
    </row>
    <row r="10" spans="1:1" x14ac:dyDescent="0.3">
      <c r="A10" s="26" t="s">
        <v>593</v>
      </c>
    </row>
    <row r="11" spans="1:1" x14ac:dyDescent="0.3">
      <c r="A11" s="26" t="s">
        <v>594</v>
      </c>
    </row>
    <row r="12" spans="1:1" x14ac:dyDescent="0.3">
      <c r="A12" s="26" t="s">
        <v>595</v>
      </c>
    </row>
  </sheetData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87B3-0129-4C63-A08A-77F360FD7DD5}">
  <dimension ref="A1"/>
  <sheetViews>
    <sheetView topLeftCell="A3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DMartDataset</vt:lpstr>
      <vt:lpstr>Sheet5</vt:lpstr>
      <vt:lpstr>Sheet3</vt:lpstr>
      <vt:lpstr>if_formula</vt:lpstr>
      <vt:lpstr>custome_list</vt:lpstr>
      <vt:lpstr>Sheet1</vt:lpstr>
      <vt:lpstr>Sheet2</vt:lpstr>
      <vt:lpstr>Sheet4</vt:lpstr>
      <vt:lpstr>Category</vt:lpstr>
      <vt:lpstr>Discount</vt:lpstr>
      <vt:lpstr>Region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Ritesh Ramteke</cp:lastModifiedBy>
  <dcterms:created xsi:type="dcterms:W3CDTF">2026-04-17T06:18:56Z</dcterms:created>
  <dcterms:modified xsi:type="dcterms:W3CDTF">2026-07-07T03:14:39Z</dcterms:modified>
</cp:coreProperties>
</file>