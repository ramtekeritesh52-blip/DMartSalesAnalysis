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IT_VEDANT\EXCEL\lab\"/>
    </mc:Choice>
  </mc:AlternateContent>
  <xr:revisionPtr revIDLastSave="0" documentId="13_ncr:1_{448191C2-D31D-43BF-937E-CF46FFEF2E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Dataset" sheetId="1" r:id="rId1"/>
    <sheet name="Sheet5" sheetId="9" r:id="rId2"/>
    <sheet name="Sheet3" sheetId="3" r:id="rId3"/>
    <sheet name="if_formula" sheetId="5" r:id="rId4"/>
    <sheet name="custome_list" sheetId="4" r:id="rId5"/>
    <sheet name="Sheet1" sheetId="6" r:id="rId6"/>
    <sheet name="Sheet2" sheetId="7" r:id="rId7"/>
    <sheet name="Sheet4" sheetId="8" r:id="rId8"/>
  </sheets>
  <definedNames>
    <definedName name="Category">DMart_Sales_data[Category]</definedName>
    <definedName name="customer_type">DMart_Sales_data[customer_type]</definedName>
    <definedName name="Discount">DMart_Sales_data[discount]</definedName>
    <definedName name="Oders">DMart_Sales_data[Oder_ID]</definedName>
    <definedName name="payment_mode">DMart_Sales_data[payment_mode]</definedName>
    <definedName name="Region">DMart_Sales_data[Updated_Result]</definedName>
    <definedName name="Regions">DMart_Sales_data[Region]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gT5L9Uh5Mkce+NjaHPxVAbIJlDW9RbqkjfO6mNdsl18="/>
    </ext>
  </extLst>
</workbook>
</file>

<file path=xl/calcChain.xml><?xml version="1.0" encoding="utf-8"?>
<calcChain xmlns="http://schemas.openxmlformats.org/spreadsheetml/2006/main">
  <c r="S28" i="1" l="1" a="1"/>
  <c r="S26" i="1" a="1"/>
  <c r="S25" i="1" a="1"/>
  <c r="S24" i="1" a="1"/>
  <c r="S23" i="1" a="1"/>
  <c r="S22" i="1" a="1"/>
  <c r="S19" i="1"/>
  <c r="S18" i="1"/>
  <c r="S17" i="1"/>
  <c r="S16" i="1"/>
  <c r="S12" i="1"/>
  <c r="S10" i="1"/>
  <c r="H5" i="9"/>
  <c r="H4" i="9"/>
  <c r="H3" i="9"/>
  <c r="S8" i="1"/>
  <c r="S7" i="1"/>
  <c r="S6" i="1"/>
  <c r="E19" i="6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D4" i="6"/>
  <c r="F38" i="6"/>
  <c r="F36" i="6"/>
  <c r="F37" i="6"/>
  <c r="F35" i="6"/>
  <c r="D14" i="6"/>
  <c r="E14" i="6" s="1"/>
  <c r="D15" i="6"/>
  <c r="E15" i="6" s="1"/>
  <c r="D16" i="6"/>
  <c r="E16" i="6" s="1"/>
  <c r="D17" i="6"/>
  <c r="E17" i="6" s="1"/>
  <c r="D13" i="6"/>
  <c r="E13" i="6" s="1"/>
  <c r="D5" i="6"/>
  <c r="D6" i="6"/>
  <c r="D7" i="6"/>
  <c r="D8" i="6"/>
  <c r="J12" i="5"/>
  <c r="J13" i="5"/>
  <c r="K3" i="5"/>
  <c r="K4" i="5"/>
  <c r="K2" i="5"/>
  <c r="E2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<sst xmlns="http://schemas.openxmlformats.org/spreadsheetml/2006/main" count="4179" uniqueCount="665">
  <si>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</si>
  <si>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</si>
  <si>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</si>
  <si>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</si>
  <si>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</si>
  <si>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</si>
  <si>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</si>
  <si>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</si>
  <si>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</si>
  <si>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</si>
  <si>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</si>
  <si>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</si>
  <si>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</si>
  <si>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</si>
  <si>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</si>
  <si>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</si>
  <si>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</si>
  <si>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</si>
  <si>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</si>
  <si>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</si>
  <si>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</si>
  <si>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</si>
  <si>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</si>
  <si>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</si>
  <si>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</si>
  <si>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</si>
  <si>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</si>
  <si>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</si>
  <si>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</si>
  <si>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</si>
  <si>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</si>
  <si>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</si>
  <si>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</si>
  <si>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</si>
  <si>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</si>
  <si>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</si>
  <si>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</si>
  <si>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</si>
  <si>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</si>
  <si>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</si>
  <si>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</si>
  <si>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</si>
  <si>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</si>
  <si>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</si>
  <si>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</si>
  <si>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</si>
  <si>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</si>
  <si>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</si>
  <si>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</si>
  <si>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</si>
  <si>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</si>
  <si>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</si>
  <si>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</si>
  <si>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</si>
  <si>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</si>
  <si>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</si>
  <si>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</si>
  <si>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</si>
  <si>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</si>
  <si>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</si>
  <si>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</si>
  <si>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</si>
  <si>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</si>
  <si>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</si>
  <si>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</si>
  <si>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</si>
  <si>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</si>
  <si>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</si>
  <si>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</si>
  <si>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</si>
  <si>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</si>
  <si>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</si>
  <si>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</si>
  <si>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</si>
  <si>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</si>
  <si>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</si>
  <si>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</si>
  <si>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</si>
  <si>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</si>
  <si>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</si>
  <si>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</si>
  <si>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</si>
  <si>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</si>
  <si>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</si>
  <si>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</si>
  <si>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</si>
  <si>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</si>
  <si>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</si>
  <si>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</si>
  <si>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</si>
  <si>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</si>
  <si>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</si>
  <si>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</si>
  <si>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</si>
  <si>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</si>
  <si>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</si>
  <si>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</si>
  <si>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</si>
  <si>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</si>
  <si>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</si>
  <si>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</si>
  <si>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</si>
  <si>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</si>
  <si>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</si>
  <si>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</si>
  <si>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</si>
  <si>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</si>
  <si>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</si>
  <si>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</si>
  <si>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</si>
  <si>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</si>
  <si>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</si>
  <si>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</si>
  <si>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</si>
  <si>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</si>
  <si>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</si>
  <si>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</si>
  <si>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</si>
  <si>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</si>
  <si>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</si>
  <si>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</si>
  <si>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</si>
  <si>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</si>
  <si>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</si>
  <si>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</si>
  <si>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</si>
  <si>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</si>
  <si>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</si>
  <si>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</si>
  <si>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</si>
  <si>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</si>
  <si>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</si>
  <si>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</si>
  <si>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</si>
  <si>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</si>
  <si>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</si>
  <si>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</si>
  <si>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</si>
  <si>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</si>
  <si>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</si>
  <si>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</si>
  <si>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</si>
  <si>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</si>
  <si>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</si>
  <si>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</si>
  <si>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</si>
  <si>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</si>
  <si>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</si>
  <si>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</si>
  <si>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</si>
  <si>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</si>
  <si>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</si>
  <si>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</si>
  <si>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</si>
  <si>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</si>
  <si>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</si>
  <si>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</si>
  <si>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</si>
  <si>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</si>
  <si>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</si>
  <si>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</si>
  <si>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</si>
  <si>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</si>
  <si>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</si>
  <si>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</si>
  <si>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</si>
  <si>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</si>
  <si>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</si>
  <si>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</si>
  <si>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</si>
  <si>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</si>
  <si>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</si>
  <si>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</si>
  <si>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</si>
  <si>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</si>
  <si>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</si>
  <si>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</si>
  <si>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</si>
  <si>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</si>
  <si>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</si>
  <si>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</si>
  <si>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</si>
  <si>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</si>
  <si>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</si>
  <si>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</si>
  <si>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</si>
  <si>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</si>
  <si>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</si>
  <si>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</si>
  <si>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</si>
  <si>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</si>
  <si>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</si>
  <si>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</si>
  <si>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</si>
  <si>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</si>
  <si>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</si>
  <si>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</si>
  <si>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</si>
  <si>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</si>
  <si>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</si>
  <si>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</si>
  <si>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</si>
  <si>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</si>
  <si>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</si>
  <si>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</si>
  <si>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</si>
  <si>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</si>
  <si>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</si>
  <si>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</si>
  <si>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</si>
  <si>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</si>
  <si>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</si>
  <si>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</si>
  <si>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</si>
  <si>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</si>
  <si>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</si>
  <si>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</si>
  <si>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</si>
  <si>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</si>
  <si>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</si>
  <si>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</si>
  <si>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</si>
  <si>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</si>
  <si>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</si>
  <si>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</si>
  <si>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</si>
  <si>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</si>
  <si>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</si>
  <si>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</si>
  <si>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</si>
  <si>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</si>
  <si>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</si>
  <si>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</si>
  <si>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</si>
  <si>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</si>
  <si>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</si>
  <si>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</si>
  <si>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</si>
  <si>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</si>
  <si>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</si>
  <si>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</si>
  <si>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</si>
  <si>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</si>
  <si>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</si>
  <si>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</si>
  <si>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</si>
  <si>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</si>
  <si>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</si>
  <si>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</si>
  <si>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</si>
  <si>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</si>
  <si>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</si>
  <si>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</si>
  <si>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</si>
  <si>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</si>
  <si>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</si>
  <si>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</si>
  <si>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</si>
  <si>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</si>
  <si>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</si>
  <si>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</si>
  <si>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</si>
  <si>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</si>
  <si>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</si>
  <si>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</si>
  <si>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</si>
  <si>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</si>
  <si>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</si>
  <si>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</si>
  <si>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</si>
  <si>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</si>
  <si>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</si>
  <si>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</si>
  <si>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</si>
  <si>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</si>
  <si>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</si>
  <si>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</si>
  <si>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</si>
  <si>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</si>
  <si>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</si>
  <si>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</si>
  <si>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</si>
  <si>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</si>
  <si>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</si>
  <si>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</si>
  <si>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</si>
  <si>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</si>
  <si>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</si>
  <si>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</si>
  <si>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</si>
  <si>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</si>
  <si>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</si>
  <si>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</si>
  <si>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</si>
  <si>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</si>
  <si>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</si>
  <si>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</si>
  <si>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</si>
  <si>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</si>
  <si>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</si>
  <si>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</si>
  <si>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</si>
  <si>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</si>
  <si>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</si>
  <si>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</si>
  <si>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</si>
  <si>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</si>
  <si>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</si>
  <si>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</si>
  <si>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</si>
  <si>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</si>
  <si>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</si>
  <si>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</si>
  <si>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</si>
  <si>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</si>
  <si>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</si>
  <si>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</si>
  <si>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</si>
  <si>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</si>
  <si>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</si>
  <si>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</si>
  <si>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</si>
  <si>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</si>
  <si>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</si>
  <si>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</si>
  <si>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</si>
  <si>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</si>
  <si>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</si>
  <si>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</si>
  <si>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</si>
  <si>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</si>
  <si>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</si>
  <si>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</si>
  <si>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</si>
  <si>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</si>
  <si>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</si>
  <si>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</si>
  <si>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</si>
  <si>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</si>
  <si>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</si>
  <si>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</si>
  <si>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</si>
  <si>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</si>
  <si>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</si>
  <si>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</si>
  <si>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</si>
  <si>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</si>
  <si>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</si>
  <si>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</si>
  <si>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</si>
  <si>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</si>
  <si>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</si>
  <si>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</si>
  <si>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</si>
  <si>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</si>
  <si>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</si>
  <si>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</si>
  <si>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</si>
  <si>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</si>
  <si>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</si>
  <si>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</si>
  <si>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</si>
  <si>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</si>
  <si>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</si>
  <si>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</si>
  <si>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</si>
  <si>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</si>
  <si>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</si>
  <si>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</si>
  <si>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</si>
  <si>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</si>
  <si>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</si>
  <si>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</si>
  <si>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</si>
  <si>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</si>
  <si>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</si>
  <si>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</si>
  <si>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</si>
  <si>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</si>
  <si>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</si>
  <si>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</si>
  <si>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</si>
  <si>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</si>
  <si>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</si>
  <si>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</si>
  <si>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</si>
  <si>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</si>
  <si>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</si>
  <si>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</si>
  <si>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</si>
  <si>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</si>
  <si>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</si>
  <si>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</si>
  <si>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</si>
  <si>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</si>
  <si>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</si>
  <si>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</si>
  <si>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</si>
  <si>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</si>
  <si>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</si>
  <si>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</si>
  <si>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</si>
  <si>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</si>
  <si>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</si>
  <si>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</si>
  <si>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</si>
  <si>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</si>
  <si>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</si>
  <si>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</si>
  <si>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</si>
  <si>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</si>
  <si>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</si>
  <si>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</si>
  <si>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</si>
  <si>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</si>
  <si>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</si>
  <si>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</si>
  <si>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</si>
  <si>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</si>
  <si>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</si>
  <si>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</si>
  <si>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</si>
  <si>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</si>
  <si>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</si>
  <si>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</si>
  <si>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</si>
  <si>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</si>
  <si>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</si>
  <si>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</si>
  <si>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</si>
  <si>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</si>
  <si>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</si>
  <si>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</si>
  <si>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</si>
  <si>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</si>
  <si>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</si>
  <si>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</si>
  <si>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</si>
  <si>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</si>
  <si>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</si>
  <si>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</si>
  <si>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</si>
  <si>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</si>
  <si>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</si>
  <si>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</si>
  <si>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</si>
  <si>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</si>
  <si>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</si>
  <si>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</si>
  <si>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</si>
  <si>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</si>
  <si>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</si>
  <si>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</si>
  <si>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</si>
  <si>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</si>
  <si>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</si>
  <si>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</si>
  <si>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</si>
  <si>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</si>
  <si>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</si>
  <si>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</si>
  <si>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</si>
  <si>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</si>
  <si>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</si>
  <si>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</si>
  <si>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</si>
  <si>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</si>
  <si>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</si>
  <si>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</si>
  <si>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</si>
  <si>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</si>
  <si>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</si>
  <si>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</si>
  <si>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</si>
  <si>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</si>
  <si>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</si>
  <si>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</si>
  <si>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</si>
  <si>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</si>
  <si>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</si>
  <si>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</si>
  <si>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</si>
  <si>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</si>
  <si>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</si>
  <si>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</si>
  <si>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</si>
  <si>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</si>
  <si>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</si>
  <si>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</si>
  <si>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</si>
  <si>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</si>
  <si>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</si>
  <si>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</si>
  <si>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</si>
  <si>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</si>
  <si>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</si>
  <si>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</si>
  <si>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</si>
  <si>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</si>
  <si>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</si>
  <si>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</si>
  <si>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</si>
  <si>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</si>
  <si>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</si>
  <si>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</si>
  <si>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</si>
  <si>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</si>
  <si>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</si>
  <si>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</si>
  <si>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</si>
  <si>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</si>
  <si>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</si>
  <si>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</si>
  <si>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</si>
  <si>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</si>
  <si>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</si>
  <si>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</si>
  <si>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</si>
  <si>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</si>
  <si>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</si>
  <si>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</si>
  <si>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</si>
  <si>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</si>
  <si>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</si>
  <si>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</si>
  <si>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</si>
  <si>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</si>
  <si>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</si>
  <si>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</si>
  <si>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</si>
  <si>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</si>
  <si>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</si>
  <si>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</si>
  <si>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</si>
  <si>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</si>
  <si>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</si>
  <si>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</si>
  <si>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</si>
  <si>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</si>
  <si>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</si>
  <si>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</si>
  <si>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 xml:space="preserve">PUNE   </t>
  </si>
  <si>
    <t>Updated_City</t>
  </si>
  <si>
    <t>First Name</t>
  </si>
  <si>
    <t>Last_Name</t>
  </si>
  <si>
    <t>Full Name</t>
  </si>
  <si>
    <t>Ritesh</t>
  </si>
  <si>
    <t>Ramteke</t>
  </si>
  <si>
    <t>Suhas</t>
  </si>
  <si>
    <t>Borkar</t>
  </si>
  <si>
    <t xml:space="preserve">Abhi </t>
  </si>
  <si>
    <t>Disuja</t>
  </si>
  <si>
    <t>Sachin</t>
  </si>
  <si>
    <t>Bhat</t>
  </si>
  <si>
    <t>Ritesh Ramteke</t>
  </si>
  <si>
    <t>Suhas Borkar</t>
  </si>
  <si>
    <t>Abhi Disuja</t>
  </si>
  <si>
    <t>Sachin Bhat</t>
  </si>
  <si>
    <t>email</t>
  </si>
  <si>
    <t>suhas@gmail.com</t>
  </si>
  <si>
    <t>abhi@gmail.com</t>
  </si>
  <si>
    <t>sachin@gmail.com</t>
  </si>
  <si>
    <t>username</t>
  </si>
  <si>
    <t>abhi</t>
  </si>
  <si>
    <t>riteshramteke03@gmail.com</t>
  </si>
  <si>
    <t>ritesh</t>
  </si>
  <si>
    <t>suhas</t>
  </si>
  <si>
    <t>sachin</t>
  </si>
  <si>
    <t>Contact-No</t>
  </si>
  <si>
    <t>91-8967598967</t>
  </si>
  <si>
    <t>91-9878586967</t>
  </si>
  <si>
    <t>91-9089788767</t>
  </si>
  <si>
    <t>91-8978877890</t>
  </si>
  <si>
    <t>10 digt</t>
  </si>
  <si>
    <t>Updated_Result</t>
  </si>
  <si>
    <t>West</t>
  </si>
  <si>
    <t>Sales</t>
  </si>
  <si>
    <t>Names</t>
  </si>
  <si>
    <t>Niket</t>
  </si>
  <si>
    <t>Rahul</t>
  </si>
  <si>
    <t>Sanny</t>
  </si>
  <si>
    <t>Employee Name</t>
  </si>
  <si>
    <t>Months</t>
  </si>
  <si>
    <t>March</t>
  </si>
  <si>
    <t>April</t>
  </si>
  <si>
    <t>May</t>
  </si>
  <si>
    <t>June</t>
  </si>
  <si>
    <t>February</t>
  </si>
  <si>
    <t>January</t>
  </si>
  <si>
    <t>September</t>
  </si>
  <si>
    <t>July</t>
  </si>
  <si>
    <t>August</t>
  </si>
  <si>
    <t>October</t>
  </si>
  <si>
    <t>November</t>
  </si>
  <si>
    <t>December</t>
  </si>
  <si>
    <t>Target Achieved</t>
  </si>
  <si>
    <t xml:space="preserve">Target </t>
  </si>
  <si>
    <t>Name</t>
  </si>
  <si>
    <t>English</t>
  </si>
  <si>
    <t>Maths</t>
  </si>
  <si>
    <t>Science</t>
  </si>
  <si>
    <t>Grade</t>
  </si>
  <si>
    <t>Aniket</t>
  </si>
  <si>
    <t>A+</t>
  </si>
  <si>
    <t>75+</t>
  </si>
  <si>
    <t>B</t>
  </si>
  <si>
    <t>eng/math</t>
  </si>
  <si>
    <t>City</t>
  </si>
  <si>
    <t>Marks</t>
  </si>
  <si>
    <t>Nagpur</t>
  </si>
  <si>
    <t>Wardha</t>
  </si>
  <si>
    <t>Status</t>
  </si>
  <si>
    <t>&gt;90</t>
  </si>
  <si>
    <t>&gt;75</t>
  </si>
  <si>
    <t>&gt;60</t>
  </si>
  <si>
    <t>A++</t>
  </si>
  <si>
    <t>A</t>
  </si>
  <si>
    <t>&gt;40</t>
  </si>
  <si>
    <t xml:space="preserve">Else </t>
  </si>
  <si>
    <t>fail</t>
  </si>
  <si>
    <t>aarav</t>
  </si>
  <si>
    <t>Bonus</t>
  </si>
  <si>
    <t>&lt;50000</t>
  </si>
  <si>
    <t>No Bonus</t>
  </si>
  <si>
    <t>Bonus Amount</t>
  </si>
  <si>
    <t>Sales Range</t>
  </si>
  <si>
    <t>Number-1</t>
  </si>
  <si>
    <t>Number-2</t>
  </si>
  <si>
    <t>Division</t>
  </si>
  <si>
    <t>sales_Range</t>
  </si>
  <si>
    <t>upi or card</t>
  </si>
  <si>
    <t>member</t>
  </si>
  <si>
    <t>Discount2</t>
  </si>
  <si>
    <t>Total Sales above 50000</t>
  </si>
  <si>
    <t>Total Sales  by UPI mode of payment</t>
  </si>
  <si>
    <t>Total Sales by Card</t>
  </si>
  <si>
    <t>Total Sales BY  Cash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</si>
  <si>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</si>
  <si>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</si>
  <si>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</si>
  <si>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</si>
  <si>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</si>
  <si>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</si>
  <si>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</si>
  <si>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</si>
  <si>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</si>
  <si>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Total sales for fruit</t>
  </si>
  <si>
    <t>Total sales for Vegetables</t>
  </si>
  <si>
    <t>NO Categeory sales</t>
  </si>
  <si>
    <t>bread</t>
  </si>
  <si>
    <t>Banana</t>
  </si>
  <si>
    <t>Total Sales for categeory Clothing in East Region</t>
  </si>
  <si>
    <t>Total Sales region north , category electronic , discount &gt;40%</t>
  </si>
  <si>
    <t>Total Oders</t>
  </si>
  <si>
    <t>Oder_ID</t>
  </si>
  <si>
    <t>Count</t>
  </si>
  <si>
    <t>Count transaction made by UPI</t>
  </si>
  <si>
    <t>Count transaction made by CARD</t>
  </si>
  <si>
    <t>Count transaction made by CASH</t>
  </si>
  <si>
    <t>Find the number of transaction having sales value more than 4000</t>
  </si>
  <si>
    <t>Count sales value greater than 4000 , and region East</t>
  </si>
  <si>
    <t>Count sales value greater than 4000 , and region West</t>
  </si>
  <si>
    <t>Count sales value greater than 4000 , and region North</t>
  </si>
  <si>
    <t>Count sales value greater than 4000 , and region South</t>
  </si>
  <si>
    <t>count of sales for customer type MEMBER and payment mode is upi or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</si>
</sst>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yyyy\-mm\-dd"/>
    <numFmt numFmtId="165" formatCode="&quot;$&quot;#,##0.00"/>
  </numFmts>
  <fonts count="1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2.3"/>
      <color rgb="FF333333"/>
      <name val="Segoe UI"/>
      <family val="2"/>
    </font>
    <font>
      <sz val="10"/>
      <color rgb="FF212529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4F4F4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A4A4A4"/>
      </top>
      <bottom style="medium">
        <color rgb="FFA4A4A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6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10" fillId="0" borderId="0" xfId="1"/>
    <xf numFmtId="0" fontId="12" fillId="0" borderId="0" xfId="0" applyFont="1"/>
    <xf numFmtId="0" fontId="4" fillId="0" borderId="0" xfId="0" applyFont="1"/>
    <xf numFmtId="0" fontId="11" fillId="0" borderId="0" xfId="0" applyFont="1"/>
    <xf numFmtId="0" fontId="11" fillId="4" borderId="0" xfId="0" applyFont="1" applyFill="1"/>
    <xf numFmtId="0" fontId="0" fillId="5" borderId="0" xfId="0" applyFill="1"/>
    <xf numFmtId="0" fontId="11" fillId="5" borderId="0" xfId="0" applyFont="1" applyFill="1"/>
    <xf numFmtId="0" fontId="3" fillId="0" borderId="0" xfId="0" applyFont="1"/>
    <xf numFmtId="0" fontId="11" fillId="4" borderId="9" xfId="0" applyFont="1" applyFill="1" applyBorder="1"/>
    <xf numFmtId="0" fontId="4" fillId="0" borderId="9" xfId="0" applyFont="1" applyBorder="1"/>
    <xf numFmtId="0" fontId="0" fillId="0" borderId="9" xfId="0" applyBorder="1"/>
    <xf numFmtId="0" fontId="3" fillId="0" borderId="9" xfId="0" applyFont="1" applyBorder="1"/>
    <xf numFmtId="2" fontId="11" fillId="0" borderId="9" xfId="0" applyNumberFormat="1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9" fillId="2" borderId="0" xfId="0" applyFont="1" applyFill="1" applyAlignment="1">
      <alignment horizontal="center"/>
    </xf>
    <xf numFmtId="0" fontId="14" fillId="0" borderId="9" xfId="0" applyFont="1" applyBorder="1"/>
    <xf numFmtId="165" fontId="14" fillId="0" borderId="9" xfId="0" applyNumberFormat="1" applyFont="1" applyBorder="1"/>
    <xf numFmtId="0" fontId="15" fillId="6" borderId="16" xfId="0" applyFont="1" applyFill="1" applyBorder="1" applyAlignment="1">
      <alignment horizontal="left" vertical="center" wrapText="1"/>
    </xf>
    <xf numFmtId="0" fontId="16" fillId="7" borderId="0" xfId="0" applyFont="1" applyFill="1" applyAlignment="1">
      <alignment vertical="top" wrapText="1" indent="1"/>
    </xf>
    <xf numFmtId="6" fontId="16" fillId="7" borderId="0" xfId="0" applyNumberFormat="1" applyFont="1" applyFill="1" applyAlignment="1">
      <alignment vertical="top" wrapText="1" indent="1"/>
    </xf>
    <xf numFmtId="0" fontId="2" fillId="0" borderId="0" xfId="0" applyFont="1"/>
    <xf numFmtId="0" fontId="14" fillId="0" borderId="0" xfId="0" applyFont="1"/>
    <xf numFmtId="0" fontId="12" fillId="0" borderId="9" xfId="0" applyFont="1" applyBorder="1"/>
    <xf numFmtId="0" fontId="0" fillId="0" borderId="9" xfId="0" applyBorder="1" applyAlignment="1">
      <alignment vertical="center" wrapText="1"/>
    </xf>
    <xf numFmtId="0" fontId="12" fillId="0" borderId="9" xfId="0" applyFont="1" applyFill="1" applyBorder="1"/>
    <xf numFmtId="0" fontId="5" fillId="0" borderId="9" xfId="0" applyFont="1" applyBorder="1"/>
    <xf numFmtId="0" fontId="1" fillId="0" borderId="0" xfId="0" applyFont="1"/>
  </cellXfs>
  <cellStyles count="2">
    <cellStyle name="Hyperlink" xfId="1" builtinId="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ill>
        <patternFill patternType="solid">
          <fgColor rgb="FFD86DCD"/>
          <bgColor rgb="FFD9D9D9"/>
        </patternFill>
      </fill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5FFC85-EDDB-4E91-A487-D9C4CFFF1485}" name="DMart_Sales_data" displayName="DMart_Sales_data" ref="A1:P499" totalsRowShown="0" headerRowDxfId="24" dataDxfId="23" tableBorderDxfId="22">
  <autoFilter ref="A1:P499" xr:uid="{CB5FFC85-EDDB-4E91-A487-D9C4CFFF1485}"/>
  <sortState xmlns:xlrd2="http://schemas.microsoft.com/office/spreadsheetml/2017/richdata2" ref="A4:O496">
    <sortCondition sortBy="cellColor" ref="H1:H499" dxfId="21"/>
  </sortState>
  <tableColumns count="16">
    <tableColumn id="1" xr3:uid="{7EF49061-0805-4769-8271-BB98A806FB0D}" name="Oder_ID" dataDxfId="20"/>
    <tableColumn id="2" xr3:uid="{C0BAB4D1-3519-4345-9B38-0E6B77682382}" name="Region" dataDxfId="19"/>
    <tableColumn id="15" xr3:uid="{4BEFB056-7F5C-4EFF-A729-C88499B6EA0D}" name="Updated_Result" dataDxfId="18"/>
    <tableColumn id="3" xr3:uid="{B9A26BF6-A552-486C-8696-866C58A5EEDE}" name="Category" dataDxfId="17"/>
    <tableColumn id="4" xr3:uid="{0FB01DF2-7A02-4A3F-BE27-BFAC4E434C5E}" name="sales" dataDxfId="16"/>
    <tableColumn id="16" xr3:uid="{D0D9F295-77BE-4D1B-8996-2AC56A23213A}" name="sales_Range" dataDxfId="15">
      <calculatedColumnFormula>IF(DMart_Sales_data[[#This Row],[sales]]&gt;3000,"High Sales",IF(DMart_Sales_data[[#This Row],[sales]]&gt;1000,"Medium Sales","Low Sales"))</calculatedColumnFormula>
    </tableColumn>
    <tableColumn id="5" xr3:uid="{843A9854-F743-48F8-8E9F-14644F1A11B6}" name="discount" dataDxfId="14"/>
    <tableColumn id="6" xr3:uid="{D50ED9D4-276F-4D61-AFB1-E90B62C26258}" name="quantity" dataDxfId="13"/>
    <tableColumn id="7" xr3:uid="{61772744-09AC-4578-AA34-E7568565FBA6}" name="order_date" dataDxfId="12"/>
    <tableColumn id="8" xr3:uid="{9DB46DCB-43DF-4D26-860D-0BD0C4D6C001}" name="delivery_date" dataDxfId="11"/>
    <tableColumn id="9" xr3:uid="{5B877D5C-8DD9-47E5-9F79-CCC0DF124EBD}" name="customer_type" dataDxfId="10"/>
    <tableColumn id="11" xr3:uid="{1BAD506E-32EE-4674-856A-09B962847C14}" name="payment_mode" dataDxfId="9"/>
    <tableColumn id="12" xr3:uid="{908963C3-FCB9-4B4E-9F8F-9EFD51AB1090}" name="profit" dataDxfId="8"/>
    <tableColumn id="14" xr3:uid="{E115AD45-1FCA-4BB7-894D-A53DD040DB9F}" name="Updated_City" dataDxfId="7"/>
    <tableColumn id="13" xr3:uid="{D6A1E705-8348-43F4-B9B6-C9A1EFAA949B}" name="city" dataDxfId="6"/>
    <tableColumn id="17" xr3:uid="{5F03E30D-E2C6-4394-9F12-DF7070EE5D38}" name="Discount2" dataDxfId="5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abhi@gmail.com" TargetMode="External"/><Relationship Id="rId2" Type="http://schemas.openxmlformats.org/officeDocument/2006/relationships/hyperlink" Target="mailto:suhas@gmail.com" TargetMode="External"/><Relationship Id="rId1" Type="http://schemas.openxmlformats.org/officeDocument/2006/relationships/hyperlink" Target="mailto:riteshramteke03@gmail.com" TargetMode="External"/><Relationship Id="rId4" Type="http://schemas.openxmlformats.org/officeDocument/2006/relationships/hyperlink" Target="mailto:sach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topLeftCell="O4" zoomScale="99" zoomScaleNormal="145" workbookViewId="0">
      <selection activeCell="X18" sqref="X18"/>
    </sheetView>
  </sheetViews>
  <sheetFormatPr defaultColWidth="12.6640625" defaultRowHeight="15" customHeight="1" x14ac:dyDescent="0.3"/>
  <cols>
    <col min="1" max="1" width="10.6640625" customWidth="1"/>
    <col min="2" max="2" width="11.44140625" customWidth="1"/>
    <col min="3" max="3" width="18.77734375" bestFit="1" customWidth="1"/>
    <col min="4" max="4" width="10.21875" customWidth="1"/>
    <col min="5" max="5" width="9.6640625" customWidth="1"/>
    <col min="6" max="6" width="16.109375" bestFit="1" customWidth="1"/>
    <col min="7" max="7" width="12.21875" bestFit="1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7.77734375" bestFit="1" customWidth="1"/>
    <col min="13" max="13" width="11.33203125" customWidth="1"/>
    <col min="14" max="14" width="16" bestFit="1" customWidth="1"/>
    <col min="15" max="15" width="15" customWidth="1"/>
    <col min="16" max="16" width="13.5546875" bestFit="1" customWidth="1"/>
    <col min="17" max="17" width="8.6640625" customWidth="1"/>
    <col min="18" max="18" width="61.5546875" bestFit="1" customWidth="1"/>
    <col min="19" max="19" width="13" customWidth="1"/>
    <col min="20" max="25" width="8.6640625" customWidth="1"/>
  </cols>
  <sheetData>
    <row r="1" spans="1:27" ht="14.25" customHeight="1" x14ac:dyDescent="0.3">
      <c r="A1" s="20" t="s">
        <v>654</v>
      </c>
      <c r="B1" s="21" t="s">
        <v>0</v>
      </c>
      <c r="C1" s="21" t="s">
        <v>574</v>
      </c>
      <c r="D1" s="21" t="s">
        <v>1</v>
      </c>
      <c r="E1" s="21" t="s">
        <v>2</v>
      </c>
      <c r="F1" s="21" t="s">
        <v>629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542</v>
      </c>
      <c r="O1" s="23" t="s">
        <v>10</v>
      </c>
      <c r="P1" s="43" t="s">
        <v>632</v>
      </c>
      <c r="Q1" s="25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 x14ac:dyDescent="0.3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Row],[sales]]&gt;3000,"High Sales",IF(DMart_Sales_data[[#This Row],[sales]]&gt;1000,"Medium Sales","Low Sales"))</f>
        <v>Low 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" t="str">
        <f>IF(AND(DMart_Sales_data[[#This Row],[customer_type]]="Member",OR(DMart_Sales_data[[#This Row],[payment_mode]]="UPI",DMart_Sales_data[[#This Row],[payment_mode]]="Card")),"Yes","No")</f>
        <v>Yes</v>
      </c>
      <c r="Q2" s="25"/>
      <c r="R2" s="1"/>
      <c r="S2" s="1" t="s">
        <v>631</v>
      </c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17</v>
      </c>
      <c r="B3" s="9" t="s">
        <v>575</v>
      </c>
      <c r="C3" s="4" t="s">
        <v>575</v>
      </c>
      <c r="D3" s="10" t="s">
        <v>18</v>
      </c>
      <c r="E3" s="10">
        <v>3802.97</v>
      </c>
      <c r="F3" s="5" t="str">
        <f>IF(DMart_Sales_data[[#This Row],[sales]]&gt;3000,"High Sales",IF(DMart_Sales_data[[#This Row],[sales]]&gt;1000,"Medium Sales","Low Sales"))</f>
        <v>High Sales</v>
      </c>
      <c r="G3" s="10">
        <v>0.38</v>
      </c>
      <c r="H3" s="10">
        <v>4</v>
      </c>
      <c r="I3" s="11">
        <v>45166</v>
      </c>
      <c r="J3" s="11">
        <v>45172</v>
      </c>
      <c r="K3" s="10" t="s">
        <v>19</v>
      </c>
      <c r="L3" s="10" t="s">
        <v>20</v>
      </c>
      <c r="M3" s="10">
        <v>971.41</v>
      </c>
      <c r="N3" s="10" t="s">
        <v>78</v>
      </c>
      <c r="O3" s="12" t="s">
        <v>21</v>
      </c>
      <c r="P3" s="2" t="str">
        <f>IF(AND(DMart_Sales_data[[#This Row],[customer_type]]="Member",OR(DMart_Sales_data[[#This Row],[payment_mode]]="UPI",DMart_Sales_data[[#This Row],[payment_mode]]="Card")),"Yes","No")</f>
        <v>No</v>
      </c>
      <c r="Q3" s="25"/>
      <c r="R3" s="1"/>
      <c r="S3" s="1" t="s">
        <v>630</v>
      </c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22</v>
      </c>
      <c r="B4" s="14" t="s">
        <v>23</v>
      </c>
      <c r="C4" s="4" t="s">
        <v>23</v>
      </c>
      <c r="D4" s="15" t="s">
        <v>24</v>
      </c>
      <c r="E4" s="15">
        <v>3588.97</v>
      </c>
      <c r="F4" s="5" t="str">
        <f>IF(DMart_Sales_data[[#This Row],[sales]]&gt;3000,"High Sales",IF(DMart_Sales_data[[#This Row],[sales]]&gt;1000,"Medium Sales","Low Sales"))</f>
        <v>High Sales</v>
      </c>
      <c r="G4" s="15">
        <v>0.1</v>
      </c>
      <c r="H4" s="15">
        <v>7</v>
      </c>
      <c r="I4" s="16">
        <v>45360</v>
      </c>
      <c r="J4" s="16">
        <v>45366</v>
      </c>
      <c r="K4" s="15" t="s">
        <v>19</v>
      </c>
      <c r="L4" s="15" t="s">
        <v>25</v>
      </c>
      <c r="M4" s="15">
        <v>769.08</v>
      </c>
      <c r="N4" s="15" t="s">
        <v>26</v>
      </c>
      <c r="O4" s="17" t="s">
        <v>26</v>
      </c>
      <c r="P4" s="2" t="str">
        <f>IF(AND(DMart_Sales_data[[#This Row],[customer_type]]="Member",OR(DMart_Sales_data[[#This Row],[payment_mode]]="UPI",DMart_Sales_data[[#This Row],[payment_mode]]="Card")),"Yes","No")</f>
        <v>No</v>
      </c>
      <c r="Q4" s="25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5" t="str">
        <f>IF(DMart_Sales_data[[#This Row],[sales]]&gt;3000,"High Sales",IF(DMart_Sales_data[[#This Row],[sales]]&gt;1000,"Medium Sales","Low Sales"))</f>
        <v>Medium Sales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34</v>
      </c>
      <c r="O5" s="18" t="s">
        <v>29</v>
      </c>
      <c r="P5" s="2" t="str">
        <f>IF(AND(DMart_Sales_data[[#This Row],[customer_type]]="Member",OR(DMart_Sales_data[[#This Row],[payment_mode]]="UPI",DMart_Sales_data[[#This Row],[payment_mode]]="Card")),"Yes","No")</f>
        <v>Yes</v>
      </c>
      <c r="Q5" s="25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5" t="str">
        <f>IF(DMart_Sales_data[[#This Row],[sales]]&gt;3000,"High Sales",IF(DMart_Sales_data[[#This Row],[sales]]&gt;1000,"Medium Sales","Low Sales"))</f>
        <v>High Sales</v>
      </c>
      <c r="G6" s="15">
        <v>0</v>
      </c>
      <c r="H6" s="15">
        <v>7</v>
      </c>
      <c r="I6" s="16">
        <v>45022</v>
      </c>
      <c r="J6" s="16">
        <v>45025</v>
      </c>
      <c r="K6" s="15" t="s">
        <v>31</v>
      </c>
      <c r="L6" s="15" t="s">
        <v>25</v>
      </c>
      <c r="M6" s="15">
        <v>621.91999999999996</v>
      </c>
      <c r="N6" s="10" t="s">
        <v>16</v>
      </c>
      <c r="O6" s="17" t="s">
        <v>16</v>
      </c>
      <c r="P6" s="2" t="str">
        <f>IF(AND(DMart_Sales_data[[#This Row],[customer_type]]="Member",OR(DMart_Sales_data[[#This Row],[payment_mode]]="UPI",DMart_Sales_data[[#This Row],[payment_mode]]="Card")),"Yes","No")</f>
        <v>No</v>
      </c>
      <c r="Q6" s="25"/>
      <c r="R6" s="44" t="s">
        <v>634</v>
      </c>
      <c r="S6" s="45">
        <f>SUMIF(DMart_Sales_data[payment_mode],"=UPI",DMart_Sales_data[sales])</f>
        <v>386412.25</v>
      </c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32</v>
      </c>
      <c r="B7" s="9" t="s">
        <v>575</v>
      </c>
      <c r="C7" s="4" t="s">
        <v>575</v>
      </c>
      <c r="D7" s="10" t="s">
        <v>33</v>
      </c>
      <c r="E7" s="10">
        <v>2566.1799999999998</v>
      </c>
      <c r="F7" s="5" t="str">
        <f>IF(DMart_Sales_data[[#This Row],[sales]]&gt;3000,"High Sales",IF(DMart_Sales_data[[#This Row],[sales]]&gt;1000,"Medium Sales","Low Sales"))</f>
        <v>Medium Sales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34</v>
      </c>
      <c r="O7" s="12" t="s">
        <v>34</v>
      </c>
      <c r="P7" s="2" t="str">
        <f>IF(AND(DMart_Sales_data[[#This Row],[customer_type]]="Member",OR(DMart_Sales_data[[#This Row],[payment_mode]]="UPI",DMart_Sales_data[[#This Row],[payment_mode]]="Card")),"Yes","No")</f>
        <v>Yes</v>
      </c>
      <c r="R7" s="44" t="s">
        <v>635</v>
      </c>
      <c r="S7" s="45">
        <f>SUMIF(DMart_Sales_data[payment_mode],"=Card",DMart_Sales_data[sales])</f>
        <v>413292.63999999996</v>
      </c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5" t="str">
        <f>IF(DMart_Sales_data[[#This Row],[sales]]&gt;3000,"High Sales",IF(DMart_Sales_data[[#This Row],[sales]]&gt;1000,"Medium Sales","Low Sales"))</f>
        <v>Low Sales</v>
      </c>
      <c r="G8" s="15">
        <v>0.16</v>
      </c>
      <c r="H8" s="15">
        <v>4</v>
      </c>
      <c r="I8" s="16">
        <v>45119</v>
      </c>
      <c r="J8" s="16">
        <v>45124</v>
      </c>
      <c r="K8" s="15" t="s">
        <v>31</v>
      </c>
      <c r="L8" s="15" t="s">
        <v>25</v>
      </c>
      <c r="M8" s="15">
        <v>110.31</v>
      </c>
      <c r="N8" s="10" t="s">
        <v>16</v>
      </c>
      <c r="O8" s="17" t="s">
        <v>16</v>
      </c>
      <c r="P8" s="2" t="str">
        <f>IF(AND(DMart_Sales_data[[#This Row],[customer_type]]="Member",OR(DMart_Sales_data[[#This Row],[payment_mode]]="UPI",DMart_Sales_data[[#This Row],[payment_mode]]="Card")),"Yes","No")</f>
        <v>No</v>
      </c>
      <c r="R8" s="44" t="s">
        <v>636</v>
      </c>
      <c r="S8" s="45">
        <f>SUMIF(DMart_Sales_data[payment_mode],"=Cash",DMart_Sales_data[sales])</f>
        <v>522964.3</v>
      </c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37</v>
      </c>
      <c r="B9" s="9" t="s">
        <v>28</v>
      </c>
      <c r="C9" s="4" t="s">
        <v>28</v>
      </c>
      <c r="D9" s="10" t="s">
        <v>36</v>
      </c>
      <c r="E9" s="10">
        <v>1462.95</v>
      </c>
      <c r="F9" s="5" t="str">
        <f>IF(DMart_Sales_data[[#This Row],[sales]]&gt;3000,"High Sales",IF(DMart_Sales_data[[#This Row],[sales]]&gt;1000,"Medium Sales","Low Sales"))</f>
        <v>Medium Sales</v>
      </c>
      <c r="G9" s="10">
        <v>0.23</v>
      </c>
      <c r="H9" s="10">
        <v>2</v>
      </c>
      <c r="I9" s="11">
        <v>45064</v>
      </c>
      <c r="J9" s="11">
        <v>45066</v>
      </c>
      <c r="K9" s="10" t="s">
        <v>19</v>
      </c>
      <c r="L9" s="10" t="s">
        <v>15</v>
      </c>
      <c r="M9" s="10">
        <v>91.68</v>
      </c>
      <c r="N9" s="10" t="s">
        <v>26</v>
      </c>
      <c r="O9" s="12" t="s">
        <v>38</v>
      </c>
      <c r="P9" s="2" t="str">
        <f>IF(AND(DMart_Sales_data[[#This Row],[customer_type]]="Member",OR(DMart_Sales_data[[#This Row],[payment_mode]]="UPI",DMart_Sales_data[[#This Row],[payment_mode]]="Card")),"Yes","No")</f>
        <v>No</v>
      </c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5" t="str">
        <f>IF(DMart_Sales_data[[#This Row],[sales]]&gt;3000,"High Sales",IF(DMart_Sales_data[[#This Row],[sales]]&gt;1000,"Medium Sales","Low Sales"))</f>
        <v>High Sales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19</v>
      </c>
      <c r="L10" s="15" t="s">
        <v>20</v>
      </c>
      <c r="M10" s="15">
        <v>995.78</v>
      </c>
      <c r="N10" s="10" t="s">
        <v>40</v>
      </c>
      <c r="O10" s="17" t="s">
        <v>40</v>
      </c>
      <c r="P10" s="2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50" t="s">
        <v>651</v>
      </c>
      <c r="S10" s="27">
        <f>SUMIFS(DMart_Sales_data[sales],DMart_Sales_data[Category],"=Clothing",DMart_Sales_data[Updated_Result],"=East")</f>
        <v>60655.859999999993</v>
      </c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41</v>
      </c>
      <c r="B11" s="9" t="s">
        <v>575</v>
      </c>
      <c r="C11" s="4" t="s">
        <v>575</v>
      </c>
      <c r="D11" s="10" t="s">
        <v>33</v>
      </c>
      <c r="E11" s="10">
        <v>587.72</v>
      </c>
      <c r="F11" s="5" t="str">
        <f>IF(DMart_Sales_data[[#This Row],[sales]]&gt;3000,"High Sales",IF(DMart_Sales_data[[#This Row],[sales]]&gt;1000,"Medium Sales","Low Sales"))</f>
        <v>Low Sales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31</v>
      </c>
      <c r="L11" s="10" t="s">
        <v>25</v>
      </c>
      <c r="M11" s="10">
        <v>102.96</v>
      </c>
      <c r="N11" s="10" t="s">
        <v>78</v>
      </c>
      <c r="O11" s="12" t="s">
        <v>21</v>
      </c>
      <c r="P11" s="2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1"/>
      <c r="S11" s="50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42</v>
      </c>
      <c r="B12" s="14" t="s">
        <v>23</v>
      </c>
      <c r="C12" s="4" t="s">
        <v>23</v>
      </c>
      <c r="D12" s="15" t="s">
        <v>13</v>
      </c>
      <c r="E12" s="15">
        <v>2581.42</v>
      </c>
      <c r="F12" s="5" t="str">
        <f>IF(DMart_Sales_data[[#This Row],[sales]]&gt;3000,"High Sales",IF(DMart_Sales_data[[#This Row],[sales]]&gt;1000,"Medium Sales","Low Sales"))</f>
        <v>Medium Sales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19</v>
      </c>
      <c r="L12" s="15" t="s">
        <v>25</v>
      </c>
      <c r="M12" s="15">
        <v>542.82000000000005</v>
      </c>
      <c r="N12" s="10" t="s">
        <v>40</v>
      </c>
      <c r="O12" s="17" t="s">
        <v>43</v>
      </c>
      <c r="P12" s="2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50" t="s">
        <v>652</v>
      </c>
      <c r="S12" s="50">
        <f>SUMIFS(DMart_Sales_data[sales],DMart_Sales_data[Updated_Result],"North",DMart_Sales_data[Category],"Electronics",DMart_Sales_data[discount],"&gt;40%")</f>
        <v>36091.269999999997</v>
      </c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44</v>
      </c>
      <c r="B13" s="9" t="s">
        <v>28</v>
      </c>
      <c r="C13" s="4" t="s">
        <v>28</v>
      </c>
      <c r="D13" s="10" t="s">
        <v>13</v>
      </c>
      <c r="E13" s="10">
        <v>4261.74</v>
      </c>
      <c r="F13" s="5" t="str">
        <f>IF(DMart_Sales_data[[#This Row],[sales]]&gt;3000,"High Sales",IF(DMart_Sales_data[[#This Row],[sales]]&gt;1000,"Medium Sales","Low Sales"))</f>
        <v>High Sales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31</v>
      </c>
      <c r="L13" s="10" t="s">
        <v>15</v>
      </c>
      <c r="M13" s="10">
        <v>1028.47</v>
      </c>
      <c r="N13" s="10" t="s">
        <v>40</v>
      </c>
      <c r="O13" s="12" t="s">
        <v>40</v>
      </c>
      <c r="P13" s="2" t="str">
        <f>IF(AND(DMart_Sales_data[[#This Row],[customer_type]]="Member",OR(DMart_Sales_data[[#This Row],[payment_mode]]="UPI",DMart_Sales_data[[#This Row],[payment_mode]]="Card")),"Yes","No")</f>
        <v>No</v>
      </c>
      <c r="Q13" s="1"/>
      <c r="R13" s="1"/>
      <c r="S13" s="50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5" t="str">
        <f>IF(DMart_Sales_data[[#This Row],[sales]]&gt;3000,"High Sales",IF(DMart_Sales_data[[#This Row],[sales]]&gt;1000,"Medium Sales","Low Sales"))</f>
        <v>Medium Sales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31</v>
      </c>
      <c r="L14" s="15" t="s">
        <v>25</v>
      </c>
      <c r="M14" s="15">
        <v>131.5</v>
      </c>
      <c r="N14" s="10" t="s">
        <v>34</v>
      </c>
      <c r="O14" s="17" t="s">
        <v>29</v>
      </c>
      <c r="P14" s="2" t="str">
        <f>IF(AND(DMart_Sales_data[[#This Row],[customer_type]]="Member",OR(DMart_Sales_data[[#This Row],[payment_mode]]="UPI",DMart_Sales_data[[#This Row],[payment_mode]]="Card")),"Yes","No")</f>
        <v>No</v>
      </c>
      <c r="Q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46</v>
      </c>
      <c r="B15" s="9" t="s">
        <v>575</v>
      </c>
      <c r="C15" s="4" t="s">
        <v>575</v>
      </c>
      <c r="D15" s="10" t="s">
        <v>13</v>
      </c>
      <c r="E15" s="10">
        <v>1377.47</v>
      </c>
      <c r="F15" s="5" t="str">
        <f>IF(DMart_Sales_data[[#This Row],[sales]]&gt;3000,"High Sales",IF(DMart_Sales_data[[#This Row],[sales]]&gt;1000,"Medium Sales","Low Sales"))</f>
        <v>Medium Sales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25</v>
      </c>
      <c r="M15" s="10">
        <v>255.49</v>
      </c>
      <c r="N15" s="10" t="s">
        <v>26</v>
      </c>
      <c r="O15" s="12" t="s">
        <v>541</v>
      </c>
      <c r="P15" s="2" t="str">
        <f>IF(AND(DMart_Sales_data[[#This Row],[customer_type]]="Member",OR(DMart_Sales_data[[#This Row],[payment_mode]]="UPI",DMart_Sales_data[[#This Row],[payment_mode]]="Card")),"Yes","No")</f>
        <v>No</v>
      </c>
      <c r="Q15" s="1"/>
      <c r="R15" s="25" t="s">
        <v>655</v>
      </c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48</v>
      </c>
      <c r="B16" s="14" t="s">
        <v>23</v>
      </c>
      <c r="C16" s="4" t="s">
        <v>23</v>
      </c>
      <c r="D16" s="15" t="s">
        <v>13</v>
      </c>
      <c r="E16" s="15">
        <v>4464.8900000000003</v>
      </c>
      <c r="F16" s="5" t="str">
        <f>IF(DMart_Sales_data[[#This Row],[sales]]&gt;3000,"High Sales",IF(DMart_Sales_data[[#This Row],[sales]]&gt;1000,"Medium Sales","Low Sales"))</f>
        <v>High Sales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19</v>
      </c>
      <c r="L16" s="15" t="s">
        <v>15</v>
      </c>
      <c r="M16" s="15">
        <v>804.36</v>
      </c>
      <c r="N16" s="10" t="s">
        <v>26</v>
      </c>
      <c r="O16" s="17" t="s">
        <v>38</v>
      </c>
      <c r="P16" s="2" t="str">
        <f>IF(AND(DMart_Sales_data[[#This Row],[customer_type]]="Member",OR(DMart_Sales_data[[#This Row],[payment_mode]]="UPI",DMart_Sales_data[[#This Row],[payment_mode]]="Card")),"Yes","No")</f>
        <v>No</v>
      </c>
      <c r="Q16" s="1"/>
      <c r="R16" s="50" t="s">
        <v>653</v>
      </c>
      <c r="S16" s="50">
        <f>COUNT(Sales)</f>
        <v>498</v>
      </c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5" t="str">
        <f>IF(DMart_Sales_data[[#This Row],[sales]]&gt;3000,"High Sales",IF(DMart_Sales_data[[#This Row],[sales]]&gt;1000,"Medium Sales","Low Sales"))</f>
        <v>Medium Sales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20</v>
      </c>
      <c r="M17" s="10">
        <v>284.91000000000003</v>
      </c>
      <c r="N17" s="10" t="s">
        <v>40</v>
      </c>
      <c r="O17" s="12" t="s">
        <v>40</v>
      </c>
      <c r="P17" s="2" t="str">
        <f>IF(AND(DMart_Sales_data[[#This Row],[customer_type]]="Member",OR(DMart_Sales_data[[#This Row],[payment_mode]]="UPI",DMart_Sales_data[[#This Row],[payment_mode]]="Card")),"Yes","No")</f>
        <v>Yes</v>
      </c>
      <c r="Q17" s="1"/>
      <c r="R17" s="51" t="s">
        <v>656</v>
      </c>
      <c r="S17" s="52">
        <f>COUNTIF(DMart_Sales_data[payment_mode],"=UPI")</f>
        <v>149</v>
      </c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5" t="str">
        <f>IF(DMart_Sales_data[[#This Row],[sales]]&gt;3000,"High Sales",IF(DMart_Sales_data[[#This Row],[sales]]&gt;1000,"Medium Sales","Low Sales"))</f>
        <v>High Sales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20</v>
      </c>
      <c r="M18" s="15">
        <v>504.83</v>
      </c>
      <c r="N18" s="10" t="s">
        <v>16</v>
      </c>
      <c r="O18" s="17" t="s">
        <v>51</v>
      </c>
      <c r="P18" s="2" t="str">
        <f>IF(AND(DMart_Sales_data[[#This Row],[customer_type]]="Member",OR(DMart_Sales_data[[#This Row],[payment_mode]]="UPI",DMart_Sales_data[[#This Row],[payment_mode]]="Card")),"Yes","No")</f>
        <v>Yes</v>
      </c>
      <c r="Q18" s="1"/>
      <c r="R18" s="51" t="s">
        <v>657</v>
      </c>
      <c r="S18" s="52">
        <f>COUNTIF(DMart_Sales_data[payment_mode],"=Card")</f>
        <v>164</v>
      </c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52</v>
      </c>
      <c r="B19" s="9" t="s">
        <v>575</v>
      </c>
      <c r="C19" s="4" t="s">
        <v>575</v>
      </c>
      <c r="D19" s="10" t="s">
        <v>13</v>
      </c>
      <c r="E19" s="10">
        <v>3727.53</v>
      </c>
      <c r="F19" s="5" t="str">
        <f>IF(DMart_Sales_data[[#This Row],[sales]]&gt;3000,"High Sales",IF(DMart_Sales_data[[#This Row],[sales]]&gt;1000,"Medium Sales","Low Sales"))</f>
        <v>High Sales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19</v>
      </c>
      <c r="L19" s="10" t="s">
        <v>20</v>
      </c>
      <c r="M19" s="10">
        <v>978.07</v>
      </c>
      <c r="N19" s="10" t="s">
        <v>40</v>
      </c>
      <c r="O19" s="12" t="s">
        <v>43</v>
      </c>
      <c r="P19" s="2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51" t="s">
        <v>658</v>
      </c>
      <c r="S19" s="52">
        <f>COUNTIF(DMart_Sales_data[payment_mode],"=Cash")</f>
        <v>185</v>
      </c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5" t="str">
        <f>IF(DMart_Sales_data[[#This Row],[sales]]&gt;3000,"High Sales",IF(DMart_Sales_data[[#This Row],[sales]]&gt;1000,"Medium Sales","Low Sales"))</f>
        <v>High Sales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0" t="s">
        <v>78</v>
      </c>
      <c r="O20" s="17" t="s">
        <v>54</v>
      </c>
      <c r="P20" s="2" t="str">
        <f>IF(AND(DMart_Sales_data[[#This Row],[customer_type]]="Member",OR(DMart_Sales_data[[#This Row],[payment_mode]]="UPI",DMart_Sales_data[[#This Row],[payment_mode]]="Card")),"Yes","No")</f>
        <v>Yes</v>
      </c>
      <c r="Q20" s="1"/>
      <c r="T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55</v>
      </c>
      <c r="B21" s="9" t="s">
        <v>28</v>
      </c>
      <c r="C21" s="4" t="s">
        <v>28</v>
      </c>
      <c r="D21" s="10" t="s">
        <v>33</v>
      </c>
      <c r="E21" s="10">
        <v>4974.32</v>
      </c>
      <c r="F21" s="5" t="str">
        <f>IF(DMart_Sales_data[[#This Row],[sales]]&gt;3000,"High Sales",IF(DMart_Sales_data[[#This Row],[sales]]&gt;1000,"Medium Sales","Low Sales"))</f>
        <v>High Sales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19</v>
      </c>
      <c r="L21" s="10" t="s">
        <v>20</v>
      </c>
      <c r="M21" s="10">
        <v>727.29</v>
      </c>
      <c r="N21" s="10" t="s">
        <v>26</v>
      </c>
      <c r="O21" s="12" t="s">
        <v>38</v>
      </c>
      <c r="P21" s="2" t="str">
        <f>IF(AND(DMart_Sales_data[[#This Row],[customer_type]]="Member",OR(DMart_Sales_data[[#This Row],[payment_mode]]="UPI",DMart_Sales_data[[#This Row],[payment_mode]]="Card")),"Yes","No")</f>
        <v>No</v>
      </c>
      <c r="Q21" s="1"/>
      <c r="T21" s="1"/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5" t="str">
        <f>IF(DMart_Sales_data[[#This Row],[sales]]&gt;3000,"High Sales",IF(DMart_Sales_data[[#This Row],[sales]]&gt;1000,"Medium Sales","Low Sales"))</f>
        <v>High Sales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19</v>
      </c>
      <c r="L22" s="15" t="s">
        <v>25</v>
      </c>
      <c r="M22" s="15">
        <v>798.81</v>
      </c>
      <c r="N22" s="10" t="s">
        <v>34</v>
      </c>
      <c r="O22" s="17" t="s">
        <v>57</v>
      </c>
      <c r="P22" s="2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53" t="s">
        <v>659</v>
      </c>
      <c r="S22" s="54" cm="1">
        <f t="array" ref="S22">COUNTIF(Sales,"&gt;4000")</f>
        <v>115</v>
      </c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58</v>
      </c>
      <c r="B23" s="9" t="s">
        <v>575</v>
      </c>
      <c r="C23" s="4" t="s">
        <v>575</v>
      </c>
      <c r="D23" s="10" t="s">
        <v>33</v>
      </c>
      <c r="E23" s="10">
        <v>3319.36</v>
      </c>
      <c r="F23" s="5" t="str">
        <f>IF(DMart_Sales_data[[#This Row],[sales]]&gt;3000,"High Sales",IF(DMart_Sales_data[[#This Row],[sales]]&gt;1000,"Medium Sales","Low Sales"))</f>
        <v>High Sales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25</v>
      </c>
      <c r="M23" s="10">
        <v>920.22</v>
      </c>
      <c r="N23" s="10" t="s">
        <v>26</v>
      </c>
      <c r="O23" s="12" t="s">
        <v>38</v>
      </c>
      <c r="P23" s="2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53" t="s">
        <v>660</v>
      </c>
      <c r="S23" s="54" cm="1">
        <f t="array" ref="S23">COUNTIFS(Sales,"&gt;4000",DMart_Sales_data[Updated_Result],"=East")</f>
        <v>29</v>
      </c>
      <c r="T23" s="1"/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59</v>
      </c>
      <c r="B24" s="14" t="s">
        <v>23</v>
      </c>
      <c r="C24" s="4" t="s">
        <v>23</v>
      </c>
      <c r="D24" s="15" t="s">
        <v>36</v>
      </c>
      <c r="E24" s="15">
        <v>4487.7700000000004</v>
      </c>
      <c r="F24" s="5" t="str">
        <f>IF(DMart_Sales_data[[#This Row],[sales]]&gt;3000,"High Sales",IF(DMart_Sales_data[[#This Row],[sales]]&gt;1000,"Medium Sales","Low Sales"))</f>
        <v>High Sales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19</v>
      </c>
      <c r="L24" s="15" t="s">
        <v>20</v>
      </c>
      <c r="M24" s="15">
        <v>931.37</v>
      </c>
      <c r="N24" s="10" t="s">
        <v>40</v>
      </c>
      <c r="O24" s="17" t="s">
        <v>40</v>
      </c>
      <c r="P24" s="2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53" t="s">
        <v>661</v>
      </c>
      <c r="S24" s="54" cm="1">
        <f t="array" ref="S24">COUNTIFS(Sales,"&gt;4000",DMart_Sales_data[Updated_Result],"West")</f>
        <v>27</v>
      </c>
      <c r="T24" s="1"/>
      <c r="U24" s="1"/>
      <c r="V24" s="1"/>
      <c r="W24" s="1"/>
      <c r="X24" s="1"/>
      <c r="Y24" s="1"/>
      <c r="Z24" s="1"/>
      <c r="AA24" s="1"/>
    </row>
    <row r="25" spans="1:27" ht="14.25" customHeight="1" x14ac:dyDescent="0.3">
      <c r="A25" s="8" t="s">
        <v>60</v>
      </c>
      <c r="B25" s="9" t="s">
        <v>28</v>
      </c>
      <c r="C25" s="4" t="s">
        <v>28</v>
      </c>
      <c r="D25" s="10" t="s">
        <v>18</v>
      </c>
      <c r="E25" s="10">
        <v>4538.1499999999996</v>
      </c>
      <c r="F25" s="5" t="str">
        <f>IF(DMart_Sales_data[[#This Row],[sales]]&gt;3000,"High Sales",IF(DMart_Sales_data[[#This Row],[sales]]&gt;1000,"Medium Sales","Low Sales"))</f>
        <v>High Sales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19</v>
      </c>
      <c r="L25" s="10" t="s">
        <v>25</v>
      </c>
      <c r="M25" s="10">
        <v>375.7</v>
      </c>
      <c r="N25" s="10" t="s">
        <v>34</v>
      </c>
      <c r="O25" s="12" t="s">
        <v>34</v>
      </c>
      <c r="P25" s="2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53" t="s">
        <v>662</v>
      </c>
      <c r="S25" s="54" cm="1">
        <f t="array" ref="S25">COUNTIFS(Sales,"&gt;4000",DMart_Sales_data[Updated_Result],"North")</f>
        <v>32</v>
      </c>
      <c r="T25" s="1"/>
      <c r="U25" s="1"/>
      <c r="V25" s="1"/>
      <c r="W25" s="1"/>
      <c r="X25" s="1"/>
      <c r="Y25" s="1"/>
      <c r="Z25" s="1"/>
      <c r="AA25" s="1"/>
    </row>
    <row r="26" spans="1:27" ht="14.25" customHeight="1" x14ac:dyDescent="0.3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5" t="str">
        <f>IF(DMart_Sales_data[[#This Row],[sales]]&gt;3000,"High Sales",IF(DMart_Sales_data[[#This Row],[sales]]&gt;1000,"Medium Sales","Low Sales"))</f>
        <v>High Sales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19</v>
      </c>
      <c r="L26" s="15" t="s">
        <v>25</v>
      </c>
      <c r="M26" s="15">
        <v>1072.26</v>
      </c>
      <c r="N26" s="10" t="s">
        <v>99</v>
      </c>
      <c r="O26" s="17" t="s">
        <v>62</v>
      </c>
      <c r="P26" s="2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53" t="s">
        <v>663</v>
      </c>
      <c r="S26" s="54" cm="1">
        <f t="array" ref="S26">COUNTIFS(Sales,"&gt;4000",DMart_Sales_data[Updated_Result],"South")</f>
        <v>27</v>
      </c>
      <c r="T26" s="1"/>
      <c r="U26" s="1"/>
      <c r="V26" s="1"/>
      <c r="W26" s="1"/>
      <c r="X26" s="1"/>
      <c r="Y26" s="1"/>
      <c r="Z26" s="1"/>
      <c r="AA26" s="1"/>
    </row>
    <row r="27" spans="1:27" ht="14.25" customHeight="1" x14ac:dyDescent="0.3">
      <c r="A27" s="8" t="s">
        <v>63</v>
      </c>
      <c r="B27" s="9" t="s">
        <v>575</v>
      </c>
      <c r="C27" s="4" t="s">
        <v>575</v>
      </c>
      <c r="D27" s="10" t="s">
        <v>33</v>
      </c>
      <c r="E27" s="10">
        <v>3904.68</v>
      </c>
      <c r="F27" s="5" t="str">
        <f>IF(DMart_Sales_data[[#This Row],[sales]]&gt;3000,"High Sales",IF(DMart_Sales_data[[#This Row],[sales]]&gt;1000,"Medium Sales","Low Sales"))</f>
        <v>High Sales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19</v>
      </c>
      <c r="L27" s="10" t="s">
        <v>20</v>
      </c>
      <c r="M27" s="10">
        <v>526.66</v>
      </c>
      <c r="N27" s="10" t="s">
        <v>99</v>
      </c>
      <c r="O27" s="12" t="s">
        <v>64</v>
      </c>
      <c r="P27" s="2" t="str">
        <f>IF(AND(DMart_Sales_data[[#This Row],[customer_type]]="Member",OR(DMart_Sales_data[[#This Row],[payment_mode]]="UPI",DMart_Sales_data[[#This Row],[payment_mode]]="Card")),"Yes","No")</f>
        <v>No</v>
      </c>
      <c r="Q27" s="1"/>
      <c r="T27" s="1"/>
      <c r="U27" s="1"/>
      <c r="V27" s="1"/>
      <c r="W27" s="1"/>
      <c r="X27" s="1"/>
      <c r="Y27" s="1"/>
      <c r="Z27" s="1"/>
      <c r="AA27" s="1"/>
    </row>
    <row r="28" spans="1:27" ht="14.25" customHeight="1" x14ac:dyDescent="0.3">
      <c r="A28" s="13" t="s">
        <v>65</v>
      </c>
      <c r="B28" s="14" t="s">
        <v>23</v>
      </c>
      <c r="C28" s="4" t="s">
        <v>23</v>
      </c>
      <c r="D28" s="15" t="s">
        <v>13</v>
      </c>
      <c r="E28" s="15">
        <v>1055.1400000000001</v>
      </c>
      <c r="F28" s="5" t="str">
        <f>IF(DMart_Sales_data[[#This Row],[sales]]&gt;3000,"High Sales",IF(DMart_Sales_data[[#This Row],[sales]]&gt;1000,"Medium Sales","Low Sales"))</f>
        <v>Medium Sales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0" t="s">
        <v>34</v>
      </c>
      <c r="O28" s="17" t="s">
        <v>57</v>
      </c>
      <c r="P28" s="2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55" t="s">
        <v>664</v>
      </c>
      <c r="S28" cm="1">
        <f t="array" ref="S28">COUNTIFS(customer_type,"=Member",payment_mode,"=UPI")+COUNTIFS(customer_type,"=Member",payment_mode,"=Card")</f>
        <v>97</v>
      </c>
      <c r="T28" s="1"/>
      <c r="U28" s="1"/>
      <c r="V28" s="1"/>
      <c r="W28" s="1"/>
      <c r="X28" s="1"/>
      <c r="Y28" s="1"/>
      <c r="Z28" s="1"/>
      <c r="AA28" s="1"/>
    </row>
    <row r="29" spans="1:27" ht="14.25" customHeight="1" x14ac:dyDescent="0.3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5" t="str">
        <f>IF(DMart_Sales_data[[#This Row],[sales]]&gt;3000,"High Sales",IF(DMart_Sales_data[[#This Row],[sales]]&gt;1000,"Medium Sales","Low Sales"))</f>
        <v>High Sales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31</v>
      </c>
      <c r="L29" s="10" t="s">
        <v>20</v>
      </c>
      <c r="M29" s="10">
        <v>689.74</v>
      </c>
      <c r="N29" s="10" t="s">
        <v>40</v>
      </c>
      <c r="O29" s="12" t="s">
        <v>67</v>
      </c>
      <c r="P29" s="2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5" t="str">
        <f>IF(DMart_Sales_data[[#This Row],[sales]]&gt;3000,"High Sales",IF(DMart_Sales_data[[#This Row],[sales]]&gt;1000,"Medium Sales","Low Sales"))</f>
        <v>Low Sales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0" t="s">
        <v>40</v>
      </c>
      <c r="O30" s="17" t="s">
        <v>40</v>
      </c>
      <c r="P30" s="2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69</v>
      </c>
      <c r="B31" s="9" t="s">
        <v>575</v>
      </c>
      <c r="C31" s="4" t="s">
        <v>575</v>
      </c>
      <c r="D31" s="10" t="s">
        <v>13</v>
      </c>
      <c r="E31" s="10">
        <v>1658.02</v>
      </c>
      <c r="F31" s="5" t="str">
        <f>IF(DMart_Sales_data[[#This Row],[sales]]&gt;3000,"High Sales",IF(DMart_Sales_data[[#This Row],[sales]]&gt;1000,"Medium Sales","Low Sales"))</f>
        <v>Medium Sales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31</v>
      </c>
      <c r="L31" s="10" t="s">
        <v>25</v>
      </c>
      <c r="M31" s="10">
        <v>422.33</v>
      </c>
      <c r="N31" s="10" t="s">
        <v>34</v>
      </c>
      <c r="O31" s="12" t="s">
        <v>34</v>
      </c>
      <c r="P31" s="2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5" t="str">
        <f>IF(DMart_Sales_data[[#This Row],[sales]]&gt;3000,"High Sales",IF(DMart_Sales_data[[#This Row],[sales]]&gt;1000,"Medium Sales","Low Sales"))</f>
        <v>Low Sales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31</v>
      </c>
      <c r="L32" s="15" t="s">
        <v>20</v>
      </c>
      <c r="M32" s="15">
        <v>123.49</v>
      </c>
      <c r="N32" s="10" t="s">
        <v>40</v>
      </c>
      <c r="O32" s="17" t="s">
        <v>67</v>
      </c>
      <c r="P32" s="2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4.25" customHeight="1" x14ac:dyDescent="0.3">
      <c r="A33" s="8" t="s">
        <v>71</v>
      </c>
      <c r="B33" s="9" t="s">
        <v>28</v>
      </c>
      <c r="C33" s="4" t="s">
        <v>28</v>
      </c>
      <c r="D33" s="10" t="s">
        <v>33</v>
      </c>
      <c r="E33" s="10">
        <v>4754.72</v>
      </c>
      <c r="F33" s="5" t="str">
        <f>IF(DMart_Sales_data[[#This Row],[sales]]&gt;3000,"High Sales",IF(DMart_Sales_data[[#This Row],[sales]]&gt;1000,"Medium Sales","Low Sales"))</f>
        <v>High Sales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31</v>
      </c>
      <c r="L33" s="10" t="s">
        <v>25</v>
      </c>
      <c r="M33" s="10">
        <v>697.03</v>
      </c>
      <c r="N33" s="10" t="s">
        <v>16</v>
      </c>
      <c r="O33" s="12" t="s">
        <v>16</v>
      </c>
      <c r="P33" s="2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4.25" customHeight="1" x14ac:dyDescent="0.3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5" t="str">
        <f>IF(DMart_Sales_data[[#This Row],[sales]]&gt;3000,"High Sales",IF(DMart_Sales_data[[#This Row],[sales]]&gt;1000,"Medium Sales","Low Sales"))</f>
        <v>Medium Sales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19</v>
      </c>
      <c r="L34" s="15" t="s">
        <v>25</v>
      </c>
      <c r="M34" s="15">
        <v>178.58</v>
      </c>
      <c r="N34" s="10" t="s">
        <v>78</v>
      </c>
      <c r="O34" s="17" t="s">
        <v>54</v>
      </c>
      <c r="P34" s="2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4.25" customHeight="1" x14ac:dyDescent="0.3">
      <c r="A35" s="8" t="s">
        <v>73</v>
      </c>
      <c r="B35" s="9" t="s">
        <v>575</v>
      </c>
      <c r="C35" s="4" t="s">
        <v>575</v>
      </c>
      <c r="D35" s="10" t="s">
        <v>13</v>
      </c>
      <c r="E35" s="10">
        <v>3594.76</v>
      </c>
      <c r="F35" s="5" t="str">
        <f>IF(DMart_Sales_data[[#This Row],[sales]]&gt;3000,"High Sales",IF(DMart_Sales_data[[#This Row],[sales]]&gt;1000,"Medium Sales","Low Sales"))</f>
        <v>High Sales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31</v>
      </c>
      <c r="L35" s="10" t="s">
        <v>15</v>
      </c>
      <c r="M35" s="10">
        <v>1002.97</v>
      </c>
      <c r="N35" s="10" t="s">
        <v>26</v>
      </c>
      <c r="O35" s="12" t="s">
        <v>26</v>
      </c>
      <c r="P35" s="2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74</v>
      </c>
      <c r="B36" s="14" t="s">
        <v>23</v>
      </c>
      <c r="C36" s="4" t="s">
        <v>23</v>
      </c>
      <c r="D36" s="15" t="s">
        <v>36</v>
      </c>
      <c r="E36" s="15">
        <v>2899.46</v>
      </c>
      <c r="F36" s="5" t="str">
        <f>IF(DMart_Sales_data[[#This Row],[sales]]&gt;3000,"High Sales",IF(DMart_Sales_data[[#This Row],[sales]]&gt;1000,"Medium Sales","Low Sales"))</f>
        <v>Medium Sales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19</v>
      </c>
      <c r="L36" s="15" t="s">
        <v>25</v>
      </c>
      <c r="M36" s="15">
        <v>320.43</v>
      </c>
      <c r="N36" s="10" t="s">
        <v>16</v>
      </c>
      <c r="O36" s="17" t="s">
        <v>16</v>
      </c>
      <c r="P36" s="2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75</v>
      </c>
      <c r="B37" s="9" t="s">
        <v>28</v>
      </c>
      <c r="C37" s="4" t="s">
        <v>28</v>
      </c>
      <c r="D37" s="10" t="s">
        <v>18</v>
      </c>
      <c r="E37" s="10">
        <v>626.80999999999995</v>
      </c>
      <c r="F37" s="5" t="str">
        <f>IF(DMart_Sales_data[[#This Row],[sales]]&gt;3000,"High Sales",IF(DMart_Sales_data[[#This Row],[sales]]&gt;1000,"Medium Sales","Low Sales"))</f>
        <v>Low Sales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19</v>
      </c>
      <c r="L37" s="10" t="s">
        <v>15</v>
      </c>
      <c r="M37" s="10">
        <v>177.84</v>
      </c>
      <c r="N37" s="10" t="s">
        <v>78</v>
      </c>
      <c r="O37" s="12" t="s">
        <v>54</v>
      </c>
      <c r="P37" s="2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4.25" customHeight="1" x14ac:dyDescent="0.3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5" t="str">
        <f>IF(DMart_Sales_data[[#This Row],[sales]]&gt;3000,"High Sales",IF(DMart_Sales_data[[#This Row],[sales]]&gt;1000,"Medium Sales","Low Sales"))</f>
        <v>Medium Sales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19</v>
      </c>
      <c r="L38" s="15" t="s">
        <v>20</v>
      </c>
      <c r="M38" s="15">
        <v>528.38</v>
      </c>
      <c r="N38" s="10" t="s">
        <v>16</v>
      </c>
      <c r="O38" s="17" t="s">
        <v>16</v>
      </c>
      <c r="P38" s="2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77</v>
      </c>
      <c r="B39" s="9" t="s">
        <v>575</v>
      </c>
      <c r="C39" s="4" t="s">
        <v>575</v>
      </c>
      <c r="D39" s="10" t="s">
        <v>33</v>
      </c>
      <c r="E39" s="10">
        <v>3339.02</v>
      </c>
      <c r="F39" s="5" t="str">
        <f>IF(DMart_Sales_data[[#This Row],[sales]]&gt;3000,"High Sales",IF(DMart_Sales_data[[#This Row],[sales]]&gt;1000,"Medium Sales","Low Sales"))</f>
        <v>High Sales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25</v>
      </c>
      <c r="M39" s="10">
        <v>586.69000000000005</v>
      </c>
      <c r="N39" s="10" t="s">
        <v>78</v>
      </c>
      <c r="O39" s="12" t="s">
        <v>78</v>
      </c>
      <c r="P39" s="2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4.25" customHeight="1" x14ac:dyDescent="0.3">
      <c r="A40" s="13" t="s">
        <v>79</v>
      </c>
      <c r="B40" s="14" t="s">
        <v>23</v>
      </c>
      <c r="C40" s="4" t="s">
        <v>23</v>
      </c>
      <c r="D40" s="15" t="s">
        <v>24</v>
      </c>
      <c r="E40" s="15">
        <v>4419.43</v>
      </c>
      <c r="F40" s="5" t="str">
        <f>IF(DMart_Sales_data[[#This Row],[sales]]&gt;3000,"High Sales",IF(DMart_Sales_data[[#This Row],[sales]]&gt;1000,"Medium Sales","Low Sales"))</f>
        <v>High Sales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31</v>
      </c>
      <c r="L40" s="15" t="s">
        <v>15</v>
      </c>
      <c r="M40" s="15">
        <v>742.22</v>
      </c>
      <c r="N40" s="10" t="s">
        <v>34</v>
      </c>
      <c r="O40" s="17" t="s">
        <v>34</v>
      </c>
      <c r="P40" s="2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5" t="str">
        <f>IF(DMart_Sales_data[[#This Row],[sales]]&gt;3000,"High Sales",IF(DMart_Sales_data[[#This Row],[sales]]&gt;1000,"Medium Sales","Low Sales"))</f>
        <v>Low Sales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20</v>
      </c>
      <c r="M41" s="10">
        <v>119.91</v>
      </c>
      <c r="N41" s="10" t="s">
        <v>26</v>
      </c>
      <c r="O41" s="12" t="s">
        <v>38</v>
      </c>
      <c r="P41" s="2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5" t="str">
        <f>IF(DMart_Sales_data[[#This Row],[sales]]&gt;3000,"High Sales",IF(DMart_Sales_data[[#This Row],[sales]]&gt;1000,"Medium Sales","Low Sales"))</f>
        <v>Medium Sales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19</v>
      </c>
      <c r="L42" s="15" t="s">
        <v>25</v>
      </c>
      <c r="M42" s="15">
        <v>392.57</v>
      </c>
      <c r="N42" s="10" t="s">
        <v>78</v>
      </c>
      <c r="O42" s="17" t="s">
        <v>78</v>
      </c>
      <c r="P42" s="2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82</v>
      </c>
      <c r="B43" s="9" t="s">
        <v>575</v>
      </c>
      <c r="C43" s="4" t="s">
        <v>575</v>
      </c>
      <c r="D43" s="10" t="s">
        <v>36</v>
      </c>
      <c r="E43" s="10">
        <v>3492.47</v>
      </c>
      <c r="F43" s="5" t="str">
        <f>IF(DMart_Sales_data[[#This Row],[sales]]&gt;3000,"High Sales",IF(DMart_Sales_data[[#This Row],[sales]]&gt;1000,"Medium Sales","Low Sales"))</f>
        <v>High Sales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20</v>
      </c>
      <c r="M43" s="10">
        <v>765.08</v>
      </c>
      <c r="N43" s="10" t="s">
        <v>40</v>
      </c>
      <c r="O43" s="12" t="s">
        <v>67</v>
      </c>
      <c r="P43" s="2" t="str">
        <f>IF(AND(DMart_Sales_data[[#This Row],[customer_type]]="Member",OR(DMart_Sales_data[[#This Row],[payment_mode]]="UPI",DMart_Sales_data[[#This Row],[payment_mode]]="Card")),"Yes","No")</f>
        <v>Yes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5" t="str">
        <f>IF(DMart_Sales_data[[#This Row],[sales]]&gt;3000,"High Sales",IF(DMart_Sales_data[[#This Row],[sales]]&gt;1000,"Medium Sales","Low Sales"))</f>
        <v>Low Sales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19</v>
      </c>
      <c r="L44" s="15" t="s">
        <v>25</v>
      </c>
      <c r="M44" s="15">
        <v>48.54</v>
      </c>
      <c r="N44" s="10" t="s">
        <v>40</v>
      </c>
      <c r="O44" s="17" t="s">
        <v>67</v>
      </c>
      <c r="P44" s="2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84</v>
      </c>
      <c r="B45" s="9" t="s">
        <v>28</v>
      </c>
      <c r="C45" s="4" t="s">
        <v>28</v>
      </c>
      <c r="D45" s="10" t="s">
        <v>13</v>
      </c>
      <c r="E45" s="10">
        <v>1097.4100000000001</v>
      </c>
      <c r="F45" s="5" t="str">
        <f>IF(DMart_Sales_data[[#This Row],[sales]]&gt;3000,"High Sales",IF(DMart_Sales_data[[#This Row],[sales]]&gt;1000,"Medium Sales","Low Sales"))</f>
        <v>Medium Sales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25</v>
      </c>
      <c r="M45" s="10">
        <v>235.05</v>
      </c>
      <c r="N45" s="10" t="s">
        <v>40</v>
      </c>
      <c r="O45" s="12" t="s">
        <v>40</v>
      </c>
      <c r="P45" s="2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5" t="str">
        <f>IF(DMart_Sales_data[[#This Row],[sales]]&gt;3000,"High Sales",IF(DMart_Sales_data[[#This Row],[sales]]&gt;1000,"Medium Sales","Low Sales"))</f>
        <v>Medium Sales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19</v>
      </c>
      <c r="L46" s="15" t="s">
        <v>20</v>
      </c>
      <c r="M46" s="15">
        <v>129.80000000000001</v>
      </c>
      <c r="N46" s="10" t="s">
        <v>40</v>
      </c>
      <c r="O46" s="17" t="s">
        <v>40</v>
      </c>
      <c r="P46" s="2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86</v>
      </c>
      <c r="B47" s="9" t="s">
        <v>575</v>
      </c>
      <c r="C47" s="4" t="s">
        <v>575</v>
      </c>
      <c r="D47" s="10" t="s">
        <v>24</v>
      </c>
      <c r="E47" s="10">
        <v>3379.7</v>
      </c>
      <c r="F47" s="5" t="str">
        <f>IF(DMart_Sales_data[[#This Row],[sales]]&gt;3000,"High Sales",IF(DMart_Sales_data[[#This Row],[sales]]&gt;1000,"Medium Sales","Low Sales"))</f>
        <v>High Sales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19</v>
      </c>
      <c r="L47" s="10" t="s">
        <v>25</v>
      </c>
      <c r="M47" s="10">
        <v>588.79</v>
      </c>
      <c r="N47" s="10" t="s">
        <v>16</v>
      </c>
      <c r="O47" s="12" t="s">
        <v>16</v>
      </c>
      <c r="P47" s="2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87</v>
      </c>
      <c r="B48" s="14" t="s">
        <v>23</v>
      </c>
      <c r="C48" s="4" t="s">
        <v>23</v>
      </c>
      <c r="D48" s="15" t="s">
        <v>13</v>
      </c>
      <c r="E48" s="15">
        <v>1501.21</v>
      </c>
      <c r="F48" s="5" t="str">
        <f>IF(DMart_Sales_data[[#This Row],[sales]]&gt;3000,"High Sales",IF(DMart_Sales_data[[#This Row],[sales]]&gt;1000,"Medium Sales","Low Sales"))</f>
        <v>Medium Sales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20</v>
      </c>
      <c r="M48" s="15">
        <v>127.89</v>
      </c>
      <c r="N48" s="10" t="s">
        <v>16</v>
      </c>
      <c r="O48" s="17" t="s">
        <v>51</v>
      </c>
      <c r="P48" s="2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88</v>
      </c>
      <c r="B49" s="9" t="s">
        <v>28</v>
      </c>
      <c r="C49" s="4" t="s">
        <v>28</v>
      </c>
      <c r="D49" s="10" t="s">
        <v>24</v>
      </c>
      <c r="E49" s="10">
        <v>3038.02</v>
      </c>
      <c r="F49" s="5" t="str">
        <f>IF(DMart_Sales_data[[#This Row],[sales]]&gt;3000,"High Sales",IF(DMart_Sales_data[[#This Row],[sales]]&gt;1000,"Medium Sales","Low Sales"))</f>
        <v>High Sales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19</v>
      </c>
      <c r="L49" s="10" t="s">
        <v>25</v>
      </c>
      <c r="M49" s="10">
        <v>249.34</v>
      </c>
      <c r="N49" s="10" t="s">
        <v>34</v>
      </c>
      <c r="O49" s="12" t="s">
        <v>29</v>
      </c>
      <c r="P49" s="2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5" t="str">
        <f>IF(DMart_Sales_data[[#This Row],[sales]]&gt;3000,"High Sales",IF(DMart_Sales_data[[#This Row],[sales]]&gt;1000,"Medium Sales","Low Sales"))</f>
        <v>High Sales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31</v>
      </c>
      <c r="L50" s="15" t="s">
        <v>25</v>
      </c>
      <c r="M50" s="15">
        <v>1097.26</v>
      </c>
      <c r="N50" s="10" t="s">
        <v>34</v>
      </c>
      <c r="O50" s="17" t="s">
        <v>57</v>
      </c>
      <c r="P50" s="2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90</v>
      </c>
      <c r="B51" s="9" t="s">
        <v>575</v>
      </c>
      <c r="C51" s="4" t="s">
        <v>575</v>
      </c>
      <c r="D51" s="10" t="s">
        <v>33</v>
      </c>
      <c r="E51" s="10">
        <v>3986.89</v>
      </c>
      <c r="F51" s="5" t="str">
        <f>IF(DMart_Sales_data[[#This Row],[sales]]&gt;3000,"High Sales",IF(DMart_Sales_data[[#This Row],[sales]]&gt;1000,"Medium Sales","Low Sales"))</f>
        <v>High Sales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25</v>
      </c>
      <c r="M51" s="10">
        <v>1139.21</v>
      </c>
      <c r="N51" s="10" t="s">
        <v>26</v>
      </c>
      <c r="O51" s="12" t="s">
        <v>38</v>
      </c>
      <c r="P51" s="2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91</v>
      </c>
      <c r="B52" s="14" t="s">
        <v>23</v>
      </c>
      <c r="C52" s="4" t="s">
        <v>23</v>
      </c>
      <c r="D52" s="15" t="s">
        <v>36</v>
      </c>
      <c r="E52" s="15">
        <v>1731.22</v>
      </c>
      <c r="F52" s="5" t="str">
        <f>IF(DMart_Sales_data[[#This Row],[sales]]&gt;3000,"High Sales",IF(DMart_Sales_data[[#This Row],[sales]]&gt;1000,"Medium Sales","Low Sales"))</f>
        <v>Medium Sales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0" t="s">
        <v>26</v>
      </c>
      <c r="O52" s="17" t="s">
        <v>26</v>
      </c>
      <c r="P52" s="2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5" t="str">
        <f>IF(DMart_Sales_data[[#This Row],[sales]]&gt;3000,"High Sales",IF(DMart_Sales_data[[#This Row],[sales]]&gt;1000,"Medium Sales","Low Sales"))</f>
        <v>Medium Sales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19</v>
      </c>
      <c r="L53" s="10" t="s">
        <v>25</v>
      </c>
      <c r="M53" s="10">
        <v>687.58</v>
      </c>
      <c r="N53" s="10" t="s">
        <v>78</v>
      </c>
      <c r="O53" s="12" t="s">
        <v>21</v>
      </c>
      <c r="P53" s="2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5" t="str">
        <f>IF(DMart_Sales_data[[#This Row],[sales]]&gt;3000,"High Sales",IF(DMart_Sales_data[[#This Row],[sales]]&gt;1000,"Medium Sales","Low Sales"))</f>
        <v>Medium Sales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25</v>
      </c>
      <c r="M54" s="15">
        <v>114.25</v>
      </c>
      <c r="N54" s="10" t="s">
        <v>16</v>
      </c>
      <c r="O54" s="17" t="s">
        <v>94</v>
      </c>
      <c r="P54" s="2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95</v>
      </c>
      <c r="B55" s="9" t="s">
        <v>575</v>
      </c>
      <c r="C55" s="4" t="s">
        <v>575</v>
      </c>
      <c r="D55" s="10" t="s">
        <v>18</v>
      </c>
      <c r="E55" s="10">
        <v>177.03</v>
      </c>
      <c r="F55" s="5" t="str">
        <f>IF(DMart_Sales_data[[#This Row],[sales]]&gt;3000,"High Sales",IF(DMart_Sales_data[[#This Row],[sales]]&gt;1000,"Medium Sales","Low Sales"))</f>
        <v>Low Sales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31</v>
      </c>
      <c r="L55" s="10" t="s">
        <v>15</v>
      </c>
      <c r="M55" s="10">
        <v>20.43</v>
      </c>
      <c r="N55" s="10" t="s">
        <v>26</v>
      </c>
      <c r="O55" s="12" t="s">
        <v>38</v>
      </c>
      <c r="P55" s="2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5" t="str">
        <f>IF(DMart_Sales_data[[#This Row],[sales]]&gt;3000,"High Sales",IF(DMart_Sales_data[[#This Row],[sales]]&gt;1000,"Medium Sales","Low Sales"))</f>
        <v>Medium Sales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0" t="s">
        <v>40</v>
      </c>
      <c r="O56" s="17" t="s">
        <v>40</v>
      </c>
      <c r="P56" s="2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97</v>
      </c>
      <c r="B57" s="9" t="s">
        <v>28</v>
      </c>
      <c r="C57" s="4" t="s">
        <v>28</v>
      </c>
      <c r="D57" s="10" t="s">
        <v>13</v>
      </c>
      <c r="E57" s="10">
        <v>1910.1</v>
      </c>
      <c r="F57" s="5" t="str">
        <f>IF(DMart_Sales_data[[#This Row],[sales]]&gt;3000,"High Sales",IF(DMart_Sales_data[[#This Row],[sales]]&gt;1000,"Medium Sales","Low Sales"))</f>
        <v>Medium Sales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31</v>
      </c>
      <c r="L57" s="10" t="s">
        <v>25</v>
      </c>
      <c r="M57" s="10">
        <v>278.48</v>
      </c>
      <c r="N57" s="10" t="s">
        <v>34</v>
      </c>
      <c r="O57" s="12" t="s">
        <v>34</v>
      </c>
      <c r="P57" s="2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5" t="str">
        <f>IF(DMart_Sales_data[[#This Row],[sales]]&gt;3000,"High Sales",IF(DMart_Sales_data[[#This Row],[sales]]&gt;1000,"Medium Sales","Low Sales"))</f>
        <v>Medium Sales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25</v>
      </c>
      <c r="M58" s="15">
        <v>356.81</v>
      </c>
      <c r="N58" s="10" t="s">
        <v>99</v>
      </c>
      <c r="O58" s="17" t="s">
        <v>99</v>
      </c>
      <c r="P58" s="2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100</v>
      </c>
      <c r="B59" s="9" t="s">
        <v>575</v>
      </c>
      <c r="C59" s="4" t="s">
        <v>575</v>
      </c>
      <c r="D59" s="10" t="s">
        <v>18</v>
      </c>
      <c r="E59" s="10">
        <v>4725.93</v>
      </c>
      <c r="F59" s="5" t="str">
        <f>IF(DMart_Sales_data[[#This Row],[sales]]&gt;3000,"High Sales",IF(DMart_Sales_data[[#This Row],[sales]]&gt;1000,"Medium Sales","Low Sales"))</f>
        <v>High Sales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31</v>
      </c>
      <c r="L59" s="10" t="s">
        <v>25</v>
      </c>
      <c r="M59" s="10">
        <v>581.75</v>
      </c>
      <c r="N59" s="10" t="s">
        <v>16</v>
      </c>
      <c r="O59" s="12" t="s">
        <v>94</v>
      </c>
      <c r="P59" s="2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101</v>
      </c>
      <c r="B60" s="14" t="s">
        <v>23</v>
      </c>
      <c r="C60" s="4" t="s">
        <v>23</v>
      </c>
      <c r="D60" s="15" t="s">
        <v>36</v>
      </c>
      <c r="E60" s="15">
        <v>4744.4799999999996</v>
      </c>
      <c r="F60" s="5" t="str">
        <f>IF(DMart_Sales_data[[#This Row],[sales]]&gt;3000,"High Sales",IF(DMart_Sales_data[[#This Row],[sales]]&gt;1000,"Medium Sales","Low Sales"))</f>
        <v>High Sales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20</v>
      </c>
      <c r="M60" s="15">
        <v>1320.22</v>
      </c>
      <c r="N60" s="10" t="s">
        <v>99</v>
      </c>
      <c r="O60" s="17" t="s">
        <v>62</v>
      </c>
      <c r="P60" s="2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102</v>
      </c>
      <c r="B61" s="9" t="s">
        <v>28</v>
      </c>
      <c r="C61" s="4" t="s">
        <v>28</v>
      </c>
      <c r="D61" s="10" t="s">
        <v>36</v>
      </c>
      <c r="E61" s="10">
        <v>443.48</v>
      </c>
      <c r="F61" s="5" t="str">
        <f>IF(DMart_Sales_data[[#This Row],[sales]]&gt;3000,"High Sales",IF(DMart_Sales_data[[#This Row],[sales]]&gt;1000,"Medium Sales","Low Sales"))</f>
        <v>Low Sales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31</v>
      </c>
      <c r="L61" s="10" t="s">
        <v>20</v>
      </c>
      <c r="M61" s="10">
        <v>42.23</v>
      </c>
      <c r="N61" s="10" t="s">
        <v>16</v>
      </c>
      <c r="O61" s="12" t="s">
        <v>16</v>
      </c>
      <c r="P61" s="2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5" t="str">
        <f>IF(DMart_Sales_data[[#This Row],[sales]]&gt;3000,"High Sales",IF(DMart_Sales_data[[#This Row],[sales]]&gt;1000,"Medium Sales","Low Sales"))</f>
        <v>High Sales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19</v>
      </c>
      <c r="L62" s="15" t="s">
        <v>20</v>
      </c>
      <c r="M62" s="15">
        <v>835.81</v>
      </c>
      <c r="N62" s="10" t="s">
        <v>99</v>
      </c>
      <c r="O62" s="17" t="s">
        <v>64</v>
      </c>
      <c r="P62" s="2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104</v>
      </c>
      <c r="B63" s="9" t="s">
        <v>575</v>
      </c>
      <c r="C63" s="4" t="s">
        <v>575</v>
      </c>
      <c r="D63" s="10" t="s">
        <v>13</v>
      </c>
      <c r="E63" s="10">
        <v>307.52999999999997</v>
      </c>
      <c r="F63" s="5" t="str">
        <f>IF(DMart_Sales_data[[#This Row],[sales]]&gt;3000,"High Sales",IF(DMart_Sales_data[[#This Row],[sales]]&gt;1000,"Medium Sales","Low Sales"))</f>
        <v>Low Sales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25</v>
      </c>
      <c r="M63" s="10">
        <v>54.58</v>
      </c>
      <c r="N63" s="10" t="s">
        <v>34</v>
      </c>
      <c r="O63" s="12" t="s">
        <v>29</v>
      </c>
      <c r="P63" s="2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105</v>
      </c>
      <c r="B64" s="14" t="s">
        <v>23</v>
      </c>
      <c r="C64" s="4" t="s">
        <v>23</v>
      </c>
      <c r="D64" s="15" t="s">
        <v>18</v>
      </c>
      <c r="E64" s="15">
        <v>3275.6</v>
      </c>
      <c r="F64" s="5" t="str">
        <f>IF(DMart_Sales_data[[#This Row],[sales]]&gt;3000,"High Sales",IF(DMart_Sales_data[[#This Row],[sales]]&gt;1000,"Medium Sales","Low Sales"))</f>
        <v>High Sales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25</v>
      </c>
      <c r="M64" s="15">
        <v>922.83</v>
      </c>
      <c r="N64" s="10" t="s">
        <v>99</v>
      </c>
      <c r="O64" s="17" t="s">
        <v>99</v>
      </c>
      <c r="P64" s="2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5" t="str">
        <f>IF(DMart_Sales_data[[#This Row],[sales]]&gt;3000,"High Sales",IF(DMart_Sales_data[[#This Row],[sales]]&gt;1000,"Medium Sales","Low Sales"))</f>
        <v>Low Sales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31</v>
      </c>
      <c r="L65" s="10" t="s">
        <v>20</v>
      </c>
      <c r="M65" s="10">
        <v>36.86</v>
      </c>
      <c r="N65" s="10" t="s">
        <v>99</v>
      </c>
      <c r="O65" s="12" t="s">
        <v>99</v>
      </c>
      <c r="P65" s="2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5" t="str">
        <f>IF(DMart_Sales_data[[#This Row],[sales]]&gt;3000,"High Sales",IF(DMart_Sales_data[[#This Row],[sales]]&gt;1000,"Medium Sales","Low Sales"))</f>
        <v>High Sales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0" t="s">
        <v>34</v>
      </c>
      <c r="O66" s="17" t="s">
        <v>29</v>
      </c>
      <c r="P66" s="2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108</v>
      </c>
      <c r="B67" s="9" t="s">
        <v>575</v>
      </c>
      <c r="C67" s="4" t="s">
        <v>575</v>
      </c>
      <c r="D67" s="10" t="s">
        <v>33</v>
      </c>
      <c r="E67" s="10">
        <v>4335.26</v>
      </c>
      <c r="F67" s="5" t="str">
        <f>IF(DMart_Sales_data[[#This Row],[sales]]&gt;3000,"High Sales",IF(DMart_Sales_data[[#This Row],[sales]]&gt;1000,"Medium Sales","Low Sales"))</f>
        <v>High Sales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31</v>
      </c>
      <c r="L67" s="10" t="s">
        <v>15</v>
      </c>
      <c r="M67" s="10">
        <v>757.48</v>
      </c>
      <c r="N67" s="10" t="s">
        <v>40</v>
      </c>
      <c r="O67" s="12" t="s">
        <v>40</v>
      </c>
      <c r="P67" s="2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5" t="str">
        <f>IF(DMart_Sales_data[[#This Row],[sales]]&gt;3000,"High Sales",IF(DMart_Sales_data[[#This Row],[sales]]&gt;1000,"Medium Sales","Low Sales"))</f>
        <v>Low Sales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19</v>
      </c>
      <c r="L68" s="15" t="s">
        <v>25</v>
      </c>
      <c r="M68" s="15">
        <v>17.88</v>
      </c>
      <c r="N68" s="10" t="s">
        <v>34</v>
      </c>
      <c r="O68" s="17" t="s">
        <v>34</v>
      </c>
      <c r="P68" s="2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110</v>
      </c>
      <c r="B69" s="9" t="s">
        <v>28</v>
      </c>
      <c r="C69" s="4" t="s">
        <v>28</v>
      </c>
      <c r="D69" s="10" t="s">
        <v>18</v>
      </c>
      <c r="E69" s="10">
        <v>3932.45</v>
      </c>
      <c r="F69" s="5" t="str">
        <f>IF(DMart_Sales_data[[#This Row],[sales]]&gt;3000,"High Sales",IF(DMart_Sales_data[[#This Row],[sales]]&gt;1000,"Medium Sales","Low Sales"))</f>
        <v>High Sales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31</v>
      </c>
      <c r="L69" s="10" t="s">
        <v>25</v>
      </c>
      <c r="M69" s="10">
        <v>408.02</v>
      </c>
      <c r="N69" s="10" t="s">
        <v>40</v>
      </c>
      <c r="O69" s="12" t="s">
        <v>67</v>
      </c>
      <c r="P69" s="2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5" t="str">
        <f>IF(DMart_Sales_data[[#This Row],[sales]]&gt;3000,"High Sales",IF(DMart_Sales_data[[#This Row],[sales]]&gt;1000,"Medium Sales","Low Sales"))</f>
        <v>High Sales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25</v>
      </c>
      <c r="M70" s="15">
        <v>542.05999999999995</v>
      </c>
      <c r="N70" s="10" t="s">
        <v>99</v>
      </c>
      <c r="O70" s="17" t="s">
        <v>99</v>
      </c>
      <c r="P70" s="2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112</v>
      </c>
      <c r="B71" s="9" t="s">
        <v>575</v>
      </c>
      <c r="C71" s="4" t="s">
        <v>575</v>
      </c>
      <c r="D71" s="10" t="s">
        <v>33</v>
      </c>
      <c r="E71" s="10">
        <v>2527.31</v>
      </c>
      <c r="F71" s="5" t="str">
        <f>IF(DMart_Sales_data[[#This Row],[sales]]&gt;3000,"High Sales",IF(DMart_Sales_data[[#This Row],[sales]]&gt;1000,"Medium Sales","Low Sales"))</f>
        <v>Medium Sales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19</v>
      </c>
      <c r="L71" s="10" t="s">
        <v>20</v>
      </c>
      <c r="M71" s="10">
        <v>611.45000000000005</v>
      </c>
      <c r="N71" s="10" t="s">
        <v>34</v>
      </c>
      <c r="O71" s="12" t="s">
        <v>57</v>
      </c>
      <c r="P71" s="2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113</v>
      </c>
      <c r="B72" s="14" t="s">
        <v>23</v>
      </c>
      <c r="C72" s="4" t="s">
        <v>23</v>
      </c>
      <c r="D72" s="15" t="s">
        <v>13</v>
      </c>
      <c r="E72" s="15">
        <v>3052.91</v>
      </c>
      <c r="F72" s="5" t="str">
        <f>IF(DMart_Sales_data[[#This Row],[sales]]&gt;3000,"High Sales",IF(DMart_Sales_data[[#This Row],[sales]]&gt;1000,"Medium Sales","Low Sales"))</f>
        <v>High Sales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31</v>
      </c>
      <c r="L72" s="15" t="s">
        <v>20</v>
      </c>
      <c r="M72" s="15">
        <v>752</v>
      </c>
      <c r="N72" s="10" t="s">
        <v>34</v>
      </c>
      <c r="O72" s="17" t="s">
        <v>34</v>
      </c>
      <c r="P72" s="2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114</v>
      </c>
      <c r="B73" s="9" t="s">
        <v>28</v>
      </c>
      <c r="C73" s="4" t="s">
        <v>28</v>
      </c>
      <c r="D73" s="10" t="s">
        <v>13</v>
      </c>
      <c r="E73" s="10">
        <v>3423.43</v>
      </c>
      <c r="F73" s="5" t="str">
        <f>IF(DMart_Sales_data[[#This Row],[sales]]&gt;3000,"High Sales",IF(DMart_Sales_data[[#This Row],[sales]]&gt;1000,"Medium Sales","Low Sales"))</f>
        <v>High Sales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31</v>
      </c>
      <c r="L73" s="10" t="s">
        <v>20</v>
      </c>
      <c r="M73" s="10">
        <v>698.02</v>
      </c>
      <c r="N73" s="10" t="s">
        <v>78</v>
      </c>
      <c r="O73" s="12" t="s">
        <v>78</v>
      </c>
      <c r="P73" s="2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5" t="str">
        <f>IF(DMart_Sales_data[[#This Row],[sales]]&gt;3000,"High Sales",IF(DMart_Sales_data[[#This Row],[sales]]&gt;1000,"Medium Sales","Low Sales"))</f>
        <v>High Sales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19</v>
      </c>
      <c r="L74" s="15" t="s">
        <v>25</v>
      </c>
      <c r="M74" s="15">
        <v>1229.3</v>
      </c>
      <c r="N74" s="10" t="s">
        <v>99</v>
      </c>
      <c r="O74" s="17" t="s">
        <v>62</v>
      </c>
      <c r="P74" s="2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116</v>
      </c>
      <c r="B75" s="9" t="s">
        <v>575</v>
      </c>
      <c r="C75" s="4" t="s">
        <v>575</v>
      </c>
      <c r="D75" s="10" t="s">
        <v>24</v>
      </c>
      <c r="E75" s="10">
        <v>3860.05</v>
      </c>
      <c r="F75" s="5" t="str">
        <f>IF(DMart_Sales_data[[#This Row],[sales]]&gt;3000,"High Sales",IF(DMart_Sales_data[[#This Row],[sales]]&gt;1000,"Medium Sales","Low Sales"))</f>
        <v>High Sales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10" t="s">
        <v>34</v>
      </c>
      <c r="O75" s="12" t="s">
        <v>29</v>
      </c>
      <c r="P75" s="2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117</v>
      </c>
      <c r="B76" s="14" t="s">
        <v>23</v>
      </c>
      <c r="C76" s="4" t="s">
        <v>23</v>
      </c>
      <c r="D76" s="15" t="s">
        <v>13</v>
      </c>
      <c r="E76" s="15">
        <v>2919.35</v>
      </c>
      <c r="F76" s="5" t="str">
        <f>IF(DMart_Sales_data[[#This Row],[sales]]&gt;3000,"High Sales",IF(DMart_Sales_data[[#This Row],[sales]]&gt;1000,"Medium Sales","Low Sales"))</f>
        <v>Medium Sales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20</v>
      </c>
      <c r="M76" s="15">
        <v>163.35</v>
      </c>
      <c r="N76" s="10" t="s">
        <v>16</v>
      </c>
      <c r="O76" s="17" t="s">
        <v>51</v>
      </c>
      <c r="P76" s="2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5" t="str">
        <f>IF(DMart_Sales_data[[#This Row],[sales]]&gt;3000,"High Sales",IF(DMart_Sales_data[[#This Row],[sales]]&gt;1000,"Medium Sales","Low Sales"))</f>
        <v>High Sales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10" t="s">
        <v>16</v>
      </c>
      <c r="O77" s="12" t="s">
        <v>51</v>
      </c>
      <c r="P77" s="2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5" t="str">
        <f>IF(DMart_Sales_data[[#This Row],[sales]]&gt;3000,"High Sales",IF(DMart_Sales_data[[#This Row],[sales]]&gt;1000,"Medium Sales","Low Sales"))</f>
        <v>High Sales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19</v>
      </c>
      <c r="L78" s="15" t="s">
        <v>15</v>
      </c>
      <c r="M78" s="15">
        <v>1440.78</v>
      </c>
      <c r="N78" s="10" t="s">
        <v>78</v>
      </c>
      <c r="O78" s="17" t="s">
        <v>54</v>
      </c>
      <c r="P78" s="2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120</v>
      </c>
      <c r="B79" s="9" t="s">
        <v>575</v>
      </c>
      <c r="C79" s="4" t="s">
        <v>575</v>
      </c>
      <c r="D79" s="10" t="s">
        <v>18</v>
      </c>
      <c r="E79" s="10">
        <v>1570.89</v>
      </c>
      <c r="F79" s="5" t="str">
        <f>IF(DMart_Sales_data[[#This Row],[sales]]&gt;3000,"High Sales",IF(DMart_Sales_data[[#This Row],[sales]]&gt;1000,"Medium Sales","Low Sales"))</f>
        <v>Medium Sales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31</v>
      </c>
      <c r="L79" s="10" t="s">
        <v>15</v>
      </c>
      <c r="M79" s="10">
        <v>336.22</v>
      </c>
      <c r="N79" s="10" t="s">
        <v>16</v>
      </c>
      <c r="O79" s="12" t="s">
        <v>94</v>
      </c>
      <c r="P79" s="2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5" t="str">
        <f>IF(DMart_Sales_data[[#This Row],[sales]]&gt;3000,"High Sales",IF(DMart_Sales_data[[#This Row],[sales]]&gt;1000,"Medium Sales","Low Sales"))</f>
        <v>Low Sales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19</v>
      </c>
      <c r="L80" s="15" t="s">
        <v>15</v>
      </c>
      <c r="M80" s="15">
        <v>151.09</v>
      </c>
      <c r="N80" s="10" t="s">
        <v>34</v>
      </c>
      <c r="O80" s="17" t="s">
        <v>29</v>
      </c>
      <c r="P80" s="2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122</v>
      </c>
      <c r="B81" s="9" t="s">
        <v>28</v>
      </c>
      <c r="C81" s="4" t="s">
        <v>28</v>
      </c>
      <c r="D81" s="10" t="s">
        <v>36</v>
      </c>
      <c r="E81" s="10">
        <v>3684.1</v>
      </c>
      <c r="F81" s="5" t="str">
        <f>IF(DMart_Sales_data[[#This Row],[sales]]&gt;3000,"High Sales",IF(DMart_Sales_data[[#This Row],[sales]]&gt;1000,"Medium Sales","Low Sales"))</f>
        <v>High Sales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31</v>
      </c>
      <c r="L81" s="10" t="s">
        <v>15</v>
      </c>
      <c r="M81" s="10">
        <v>289.32</v>
      </c>
      <c r="N81" s="10" t="s">
        <v>40</v>
      </c>
      <c r="O81" s="12" t="s">
        <v>40</v>
      </c>
      <c r="P81" s="2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5" t="str">
        <f>IF(DMart_Sales_data[[#This Row],[sales]]&gt;3000,"High Sales",IF(DMart_Sales_data[[#This Row],[sales]]&gt;1000,"Medium Sales","Low Sales"))</f>
        <v>High Sales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19</v>
      </c>
      <c r="L82" s="15" t="s">
        <v>20</v>
      </c>
      <c r="M82" s="15">
        <v>684.94</v>
      </c>
      <c r="N82" s="10" t="s">
        <v>40</v>
      </c>
      <c r="O82" s="17" t="s">
        <v>40</v>
      </c>
      <c r="P82" s="2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124</v>
      </c>
      <c r="B83" s="9" t="s">
        <v>575</v>
      </c>
      <c r="C83" s="4" t="s">
        <v>575</v>
      </c>
      <c r="D83" s="10" t="s">
        <v>13</v>
      </c>
      <c r="E83" s="10">
        <v>671.86</v>
      </c>
      <c r="F83" s="5" t="str">
        <f>IF(DMart_Sales_data[[#This Row],[sales]]&gt;3000,"High Sales",IF(DMart_Sales_data[[#This Row],[sales]]&gt;1000,"Medium Sales","Low Sales"))</f>
        <v>Low Sales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31</v>
      </c>
      <c r="L83" s="10" t="s">
        <v>15</v>
      </c>
      <c r="M83" s="10">
        <v>175.75</v>
      </c>
      <c r="N83" s="10" t="s">
        <v>26</v>
      </c>
      <c r="O83" s="12" t="s">
        <v>38</v>
      </c>
      <c r="P83" s="2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125</v>
      </c>
      <c r="B84" s="14" t="s">
        <v>23</v>
      </c>
      <c r="C84" s="4" t="s">
        <v>23</v>
      </c>
      <c r="D84" s="15" t="s">
        <v>13</v>
      </c>
      <c r="E84" s="15">
        <v>2215.37</v>
      </c>
      <c r="F84" s="5" t="str">
        <f>IF(DMart_Sales_data[[#This Row],[sales]]&gt;3000,"High Sales",IF(DMart_Sales_data[[#This Row],[sales]]&gt;1000,"Medium Sales","Low Sales"))</f>
        <v>Medium Sales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31</v>
      </c>
      <c r="L84" s="15" t="s">
        <v>25</v>
      </c>
      <c r="M84" s="15">
        <v>171.87</v>
      </c>
      <c r="N84" s="10" t="s">
        <v>16</v>
      </c>
      <c r="O84" s="17" t="s">
        <v>94</v>
      </c>
      <c r="P84" s="2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126</v>
      </c>
      <c r="B85" s="9" t="s">
        <v>28</v>
      </c>
      <c r="C85" s="4" t="s">
        <v>28</v>
      </c>
      <c r="D85" s="10" t="s">
        <v>24</v>
      </c>
      <c r="E85" s="10">
        <v>405.11</v>
      </c>
      <c r="F85" s="5" t="str">
        <f>IF(DMart_Sales_data[[#This Row],[sales]]&gt;3000,"High Sales",IF(DMart_Sales_data[[#This Row],[sales]]&gt;1000,"Medium Sales","Low Sales"))</f>
        <v>Low Sales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19</v>
      </c>
      <c r="L85" s="10" t="s">
        <v>20</v>
      </c>
      <c r="M85" s="10">
        <v>105.25</v>
      </c>
      <c r="N85" s="10" t="s">
        <v>34</v>
      </c>
      <c r="O85" s="12" t="s">
        <v>57</v>
      </c>
      <c r="P85" s="2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5" t="str">
        <f>IF(DMart_Sales_data[[#This Row],[sales]]&gt;3000,"High Sales",IF(DMart_Sales_data[[#This Row],[sales]]&gt;1000,"Medium Sales","Low Sales"))</f>
        <v>High Sales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19</v>
      </c>
      <c r="L86" s="15" t="s">
        <v>15</v>
      </c>
      <c r="M86" s="15">
        <v>754.77</v>
      </c>
      <c r="N86" s="10" t="s">
        <v>34</v>
      </c>
      <c r="O86" s="17" t="s">
        <v>57</v>
      </c>
      <c r="P86" s="2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128</v>
      </c>
      <c r="B87" s="9" t="s">
        <v>575</v>
      </c>
      <c r="C87" s="4" t="s">
        <v>575</v>
      </c>
      <c r="D87" s="10" t="s">
        <v>36</v>
      </c>
      <c r="E87" s="10">
        <v>4748.67</v>
      </c>
      <c r="F87" s="5" t="str">
        <f>IF(DMart_Sales_data[[#This Row],[sales]]&gt;3000,"High Sales",IF(DMart_Sales_data[[#This Row],[sales]]&gt;1000,"Medium Sales","Low Sales"))</f>
        <v>High Sales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19</v>
      </c>
      <c r="L87" s="10" t="s">
        <v>15</v>
      </c>
      <c r="M87" s="10">
        <v>705.01</v>
      </c>
      <c r="N87" s="10" t="s">
        <v>40</v>
      </c>
      <c r="O87" s="12" t="s">
        <v>40</v>
      </c>
      <c r="P87" s="2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129</v>
      </c>
      <c r="B88" s="14" t="s">
        <v>23</v>
      </c>
      <c r="C88" s="4" t="s">
        <v>23</v>
      </c>
      <c r="D88" s="15" t="s">
        <v>18</v>
      </c>
      <c r="E88" s="15">
        <v>2545.0700000000002</v>
      </c>
      <c r="F88" s="5" t="str">
        <f>IF(DMart_Sales_data[[#This Row],[sales]]&gt;3000,"High Sales",IF(DMart_Sales_data[[#This Row],[sales]]&gt;1000,"Medium Sales","Low Sales"))</f>
        <v>Medium Sales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31</v>
      </c>
      <c r="L88" s="15" t="s">
        <v>20</v>
      </c>
      <c r="M88" s="15">
        <v>719.11</v>
      </c>
      <c r="N88" s="10" t="s">
        <v>26</v>
      </c>
      <c r="O88" s="17" t="s">
        <v>26</v>
      </c>
      <c r="P88" s="2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5" t="str">
        <f>IF(DMart_Sales_data[[#This Row],[sales]]&gt;3000,"High Sales",IF(DMart_Sales_data[[#This Row],[sales]]&gt;1000,"Medium Sales","Low Sales"))</f>
        <v>Medium Sales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19</v>
      </c>
      <c r="L89" s="10" t="s">
        <v>15</v>
      </c>
      <c r="M89" s="10">
        <v>120.84</v>
      </c>
      <c r="N89" s="10" t="s">
        <v>78</v>
      </c>
      <c r="O89" s="12" t="s">
        <v>54</v>
      </c>
      <c r="P89" s="2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5" t="str">
        <f>IF(DMart_Sales_data[[#This Row],[sales]]&gt;3000,"High Sales",IF(DMart_Sales_data[[#This Row],[sales]]&gt;1000,"Medium Sales","Low Sales"))</f>
        <v>High Sales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31</v>
      </c>
      <c r="L90" s="15" t="s">
        <v>25</v>
      </c>
      <c r="M90" s="15">
        <v>1281.0999999999999</v>
      </c>
      <c r="N90" s="10" t="s">
        <v>34</v>
      </c>
      <c r="O90" s="17" t="s">
        <v>34</v>
      </c>
      <c r="P90" s="2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132</v>
      </c>
      <c r="B91" s="9" t="s">
        <v>575</v>
      </c>
      <c r="C91" s="4" t="s">
        <v>575</v>
      </c>
      <c r="D91" s="10" t="s">
        <v>33</v>
      </c>
      <c r="E91" s="10">
        <v>753.6</v>
      </c>
      <c r="F91" s="5" t="str">
        <f>IF(DMart_Sales_data[[#This Row],[sales]]&gt;3000,"High Sales",IF(DMart_Sales_data[[#This Row],[sales]]&gt;1000,"Medium Sales","Low Sales"))</f>
        <v>Low Sales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31</v>
      </c>
      <c r="L91" s="10" t="s">
        <v>15</v>
      </c>
      <c r="M91" s="10">
        <v>203.17</v>
      </c>
      <c r="N91" s="10" t="s">
        <v>78</v>
      </c>
      <c r="O91" s="12" t="s">
        <v>78</v>
      </c>
      <c r="P91" s="2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5" t="str">
        <f>IF(DMart_Sales_data[[#This Row],[sales]]&gt;3000,"High Sales",IF(DMart_Sales_data[[#This Row],[sales]]&gt;1000,"Medium Sales","Low Sales"))</f>
        <v>High Sales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19</v>
      </c>
      <c r="L92" s="15" t="s">
        <v>20</v>
      </c>
      <c r="M92" s="15">
        <v>1325.93</v>
      </c>
      <c r="N92" s="10" t="s">
        <v>78</v>
      </c>
      <c r="O92" s="17" t="s">
        <v>54</v>
      </c>
      <c r="P92" s="2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134</v>
      </c>
      <c r="B93" s="9" t="s">
        <v>28</v>
      </c>
      <c r="C93" s="4" t="s">
        <v>28</v>
      </c>
      <c r="D93" s="10" t="s">
        <v>33</v>
      </c>
      <c r="E93" s="10">
        <v>2021.42</v>
      </c>
      <c r="F93" s="5" t="str">
        <f>IF(DMart_Sales_data[[#This Row],[sales]]&gt;3000,"High Sales",IF(DMart_Sales_data[[#This Row],[sales]]&gt;1000,"Medium Sales","Low Sales"))</f>
        <v>Medium Sales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20</v>
      </c>
      <c r="M93" s="10">
        <v>311.67</v>
      </c>
      <c r="N93" s="10" t="s">
        <v>34</v>
      </c>
      <c r="O93" s="12" t="s">
        <v>29</v>
      </c>
      <c r="P93" s="2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5" t="str">
        <f>IF(DMart_Sales_data[[#This Row],[sales]]&gt;3000,"High Sales",IF(DMart_Sales_data[[#This Row],[sales]]&gt;1000,"Medium Sales","Low Sales"))</f>
        <v>Medium Sales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20</v>
      </c>
      <c r="M94" s="15">
        <v>469.27</v>
      </c>
      <c r="N94" s="10" t="s">
        <v>34</v>
      </c>
      <c r="O94" s="17" t="s">
        <v>29</v>
      </c>
      <c r="P94" s="2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136</v>
      </c>
      <c r="B95" s="9" t="s">
        <v>575</v>
      </c>
      <c r="C95" s="4" t="s">
        <v>575</v>
      </c>
      <c r="D95" s="10" t="s">
        <v>24</v>
      </c>
      <c r="E95" s="10">
        <v>2688.63</v>
      </c>
      <c r="F95" s="5" t="str">
        <f>IF(DMart_Sales_data[[#This Row],[sales]]&gt;3000,"High Sales",IF(DMart_Sales_data[[#This Row],[sales]]&gt;1000,"Medium Sales","Low Sales"))</f>
        <v>Medium Sales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31</v>
      </c>
      <c r="L95" s="10" t="s">
        <v>25</v>
      </c>
      <c r="M95" s="10">
        <v>608.51</v>
      </c>
      <c r="N95" s="10" t="s">
        <v>99</v>
      </c>
      <c r="O95" s="12" t="s">
        <v>99</v>
      </c>
      <c r="P95" s="2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137</v>
      </c>
      <c r="B96" s="14" t="s">
        <v>23</v>
      </c>
      <c r="C96" s="4" t="s">
        <v>23</v>
      </c>
      <c r="D96" s="15" t="s">
        <v>36</v>
      </c>
      <c r="E96" s="15">
        <v>3118.3</v>
      </c>
      <c r="F96" s="5" t="str">
        <f>IF(DMart_Sales_data[[#This Row],[sales]]&gt;3000,"High Sales",IF(DMart_Sales_data[[#This Row],[sales]]&gt;1000,"Medium Sales","Low Sales"))</f>
        <v>High Sales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31</v>
      </c>
      <c r="L96" s="15" t="s">
        <v>15</v>
      </c>
      <c r="M96" s="15">
        <v>241.86</v>
      </c>
      <c r="N96" s="10" t="s">
        <v>34</v>
      </c>
      <c r="O96" s="17" t="s">
        <v>34</v>
      </c>
      <c r="P96" s="2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138</v>
      </c>
      <c r="B97" s="9" t="s">
        <v>28</v>
      </c>
      <c r="C97" s="4" t="s">
        <v>28</v>
      </c>
      <c r="D97" s="10" t="s">
        <v>18</v>
      </c>
      <c r="E97" s="10">
        <v>4716.3999999999996</v>
      </c>
      <c r="F97" s="5" t="str">
        <f>IF(DMart_Sales_data[[#This Row],[sales]]&gt;3000,"High Sales",IF(DMart_Sales_data[[#This Row],[sales]]&gt;1000,"Medium Sales","Low Sales"))</f>
        <v>High Sales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20</v>
      </c>
      <c r="M97" s="10">
        <v>523.02</v>
      </c>
      <c r="N97" s="10" t="s">
        <v>16</v>
      </c>
      <c r="O97" s="12" t="s">
        <v>94</v>
      </c>
      <c r="P97" s="2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5" t="str">
        <f>IF(DMart_Sales_data[[#This Row],[sales]]&gt;3000,"High Sales",IF(DMart_Sales_data[[#This Row],[sales]]&gt;1000,"Medium Sales","Low Sales"))</f>
        <v>High Sales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31</v>
      </c>
      <c r="L98" s="15" t="s">
        <v>25</v>
      </c>
      <c r="M98" s="15">
        <v>764.06</v>
      </c>
      <c r="N98" s="10" t="s">
        <v>40</v>
      </c>
      <c r="O98" s="17" t="s">
        <v>67</v>
      </c>
      <c r="P98" s="2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140</v>
      </c>
      <c r="B99" s="9" t="s">
        <v>575</v>
      </c>
      <c r="C99" s="4" t="s">
        <v>575</v>
      </c>
      <c r="D99" s="10" t="s">
        <v>33</v>
      </c>
      <c r="E99" s="10">
        <v>4172.63</v>
      </c>
      <c r="F99" s="5" t="str">
        <f>IF(DMart_Sales_data[[#This Row],[sales]]&gt;3000,"High Sales",IF(DMart_Sales_data[[#This Row],[sales]]&gt;1000,"Medium Sales","Low Sales"))</f>
        <v>High Sales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25</v>
      </c>
      <c r="M99" s="10">
        <v>957.31</v>
      </c>
      <c r="N99" s="10" t="s">
        <v>34</v>
      </c>
      <c r="O99" s="12" t="s">
        <v>57</v>
      </c>
      <c r="P99" s="2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141</v>
      </c>
      <c r="B100" s="14" t="s">
        <v>23</v>
      </c>
      <c r="C100" s="4" t="s">
        <v>23</v>
      </c>
      <c r="D100" s="15" t="s">
        <v>24</v>
      </c>
      <c r="E100" s="15">
        <v>1038.57</v>
      </c>
      <c r="F100" s="5" t="str">
        <f>IF(DMart_Sales_data[[#This Row],[sales]]&gt;3000,"High Sales",IF(DMart_Sales_data[[#This Row],[sales]]&gt;1000,"Medium Sales","Low Sales"))</f>
        <v>Medium Sales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31</v>
      </c>
      <c r="L100" s="15" t="s">
        <v>20</v>
      </c>
      <c r="M100" s="15">
        <v>180.83</v>
      </c>
      <c r="N100" s="10" t="s">
        <v>99</v>
      </c>
      <c r="O100" s="17" t="s">
        <v>62</v>
      </c>
      <c r="P100" s="2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5" t="str">
        <f>IF(DMart_Sales_data[[#This Row],[sales]]&gt;3000,"High Sales",IF(DMart_Sales_data[[#This Row],[sales]]&gt;1000,"Medium Sales","Low Sales"))</f>
        <v>Medium Sales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31</v>
      </c>
      <c r="L101" s="10" t="s">
        <v>20</v>
      </c>
      <c r="M101" s="10">
        <v>186.24</v>
      </c>
      <c r="N101" s="10" t="s">
        <v>26</v>
      </c>
      <c r="O101" s="12" t="s">
        <v>47</v>
      </c>
      <c r="P101" s="2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5" t="str">
        <f>IF(DMart_Sales_data[[#This Row],[sales]]&gt;3000,"High Sales",IF(DMart_Sales_data[[#This Row],[sales]]&gt;1000,"Medium Sales","Low Sales"))</f>
        <v>Medium Sales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19</v>
      </c>
      <c r="L102" s="15" t="s">
        <v>25</v>
      </c>
      <c r="M102" s="15">
        <v>306.17</v>
      </c>
      <c r="N102" s="10" t="s">
        <v>34</v>
      </c>
      <c r="O102" s="17" t="s">
        <v>29</v>
      </c>
      <c r="P102" s="2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144</v>
      </c>
      <c r="B103" s="9" t="s">
        <v>575</v>
      </c>
      <c r="C103" s="4" t="s">
        <v>575</v>
      </c>
      <c r="D103" s="10" t="s">
        <v>33</v>
      </c>
      <c r="E103" s="10">
        <v>4536.76</v>
      </c>
      <c r="F103" s="5" t="str">
        <f>IF(DMart_Sales_data[[#This Row],[sales]]&gt;3000,"High Sales",IF(DMart_Sales_data[[#This Row],[sales]]&gt;1000,"Medium Sales","Low Sales"))</f>
        <v>High Sales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20</v>
      </c>
      <c r="M103" s="10">
        <v>1077.1099999999999</v>
      </c>
      <c r="N103" s="10" t="s">
        <v>40</v>
      </c>
      <c r="O103" s="12" t="s">
        <v>40</v>
      </c>
      <c r="P103" s="2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5" t="str">
        <f>IF(DMart_Sales_data[[#This Row],[sales]]&gt;3000,"High Sales",IF(DMart_Sales_data[[#This Row],[sales]]&gt;1000,"Medium Sales","Low Sales"))</f>
        <v>Medium Sales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31</v>
      </c>
      <c r="L104" s="15" t="s">
        <v>20</v>
      </c>
      <c r="M104" s="15">
        <v>666.98</v>
      </c>
      <c r="N104" s="10" t="s">
        <v>78</v>
      </c>
      <c r="O104" s="17" t="s">
        <v>21</v>
      </c>
      <c r="P104" s="2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146</v>
      </c>
      <c r="B105" s="9" t="s">
        <v>28</v>
      </c>
      <c r="C105" s="4" t="s">
        <v>28</v>
      </c>
      <c r="D105" s="10" t="s">
        <v>33</v>
      </c>
      <c r="E105" s="10">
        <v>4889.43</v>
      </c>
      <c r="F105" s="5" t="str">
        <f>IF(DMart_Sales_data[[#This Row],[sales]]&gt;3000,"High Sales",IF(DMart_Sales_data[[#This Row],[sales]]&gt;1000,"Medium Sales","Low Sales"))</f>
        <v>High Sales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25</v>
      </c>
      <c r="M105" s="10">
        <v>777.62</v>
      </c>
      <c r="N105" s="10" t="s">
        <v>78</v>
      </c>
      <c r="O105" s="12" t="s">
        <v>21</v>
      </c>
      <c r="P105" s="2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5" t="str">
        <f>IF(DMart_Sales_data[[#This Row],[sales]]&gt;3000,"High Sales",IF(DMart_Sales_data[[#This Row],[sales]]&gt;1000,"Medium Sales","Low Sales"))</f>
        <v>High Sales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19</v>
      </c>
      <c r="L106" s="15" t="s">
        <v>15</v>
      </c>
      <c r="M106" s="15">
        <v>483.88</v>
      </c>
      <c r="N106" s="10" t="s">
        <v>16</v>
      </c>
      <c r="O106" s="17" t="s">
        <v>94</v>
      </c>
      <c r="P106" s="2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148</v>
      </c>
      <c r="B107" s="9" t="s">
        <v>575</v>
      </c>
      <c r="C107" s="4" t="s">
        <v>575</v>
      </c>
      <c r="D107" s="10" t="s">
        <v>33</v>
      </c>
      <c r="E107" s="10">
        <v>3033.06</v>
      </c>
      <c r="F107" s="5" t="str">
        <f>IF(DMart_Sales_data[[#This Row],[sales]]&gt;3000,"High Sales",IF(DMart_Sales_data[[#This Row],[sales]]&gt;1000,"Medium Sales","Low Sales"))</f>
        <v>High Sales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20</v>
      </c>
      <c r="M107" s="10">
        <v>587.57000000000005</v>
      </c>
      <c r="N107" s="10" t="s">
        <v>78</v>
      </c>
      <c r="O107" s="12" t="s">
        <v>54</v>
      </c>
      <c r="P107" s="2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149</v>
      </c>
      <c r="B108" s="14" t="s">
        <v>23</v>
      </c>
      <c r="C108" s="4" t="s">
        <v>23</v>
      </c>
      <c r="D108" s="15" t="s">
        <v>18</v>
      </c>
      <c r="E108" s="15">
        <v>4399.7299999999996</v>
      </c>
      <c r="F108" s="5" t="str">
        <f>IF(DMart_Sales_data[[#This Row],[sales]]&gt;3000,"High Sales",IF(DMart_Sales_data[[#This Row],[sales]]&gt;1000,"Medium Sales","Low Sales"))</f>
        <v>High Sales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31</v>
      </c>
      <c r="L108" s="15" t="s">
        <v>25</v>
      </c>
      <c r="M108" s="15">
        <v>660.08</v>
      </c>
      <c r="N108" s="10" t="s">
        <v>34</v>
      </c>
      <c r="O108" s="17" t="s">
        <v>57</v>
      </c>
      <c r="P108" s="2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150</v>
      </c>
      <c r="B109" s="9" t="s">
        <v>28</v>
      </c>
      <c r="C109" s="4" t="s">
        <v>28</v>
      </c>
      <c r="D109" s="10" t="s">
        <v>36</v>
      </c>
      <c r="E109" s="10">
        <v>4996.1899999999996</v>
      </c>
      <c r="F109" s="5" t="str">
        <f>IF(DMart_Sales_data[[#This Row],[sales]]&gt;3000,"High Sales",IF(DMart_Sales_data[[#This Row],[sales]]&gt;1000,"Medium Sales","Low Sales"))</f>
        <v>High Sales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20</v>
      </c>
      <c r="M109" s="10">
        <v>1047.8699999999999</v>
      </c>
      <c r="N109" s="10" t="s">
        <v>78</v>
      </c>
      <c r="O109" s="12" t="s">
        <v>78</v>
      </c>
      <c r="P109" s="2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5" t="str">
        <f>IF(DMart_Sales_data[[#This Row],[sales]]&gt;3000,"High Sales",IF(DMart_Sales_data[[#This Row],[sales]]&gt;1000,"Medium Sales","Low Sales"))</f>
        <v>High Sales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19</v>
      </c>
      <c r="L110" s="15" t="s">
        <v>20</v>
      </c>
      <c r="M110" s="15">
        <v>1092.43</v>
      </c>
      <c r="N110" s="10" t="s">
        <v>16</v>
      </c>
      <c r="O110" s="17" t="s">
        <v>51</v>
      </c>
      <c r="P110" s="2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152</v>
      </c>
      <c r="B111" s="9" t="s">
        <v>575</v>
      </c>
      <c r="C111" s="4" t="s">
        <v>575</v>
      </c>
      <c r="D111" s="10" t="s">
        <v>36</v>
      </c>
      <c r="E111" s="10">
        <v>3318.86</v>
      </c>
      <c r="F111" s="5" t="str">
        <f>IF(DMart_Sales_data[[#This Row],[sales]]&gt;3000,"High Sales",IF(DMart_Sales_data[[#This Row],[sales]]&gt;1000,"Medium Sales","Low Sales"))</f>
        <v>High Sales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10" t="s">
        <v>26</v>
      </c>
      <c r="O111" s="12" t="s">
        <v>38</v>
      </c>
      <c r="P111" s="2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153</v>
      </c>
      <c r="B112" s="14" t="s">
        <v>23</v>
      </c>
      <c r="C112" s="4" t="s">
        <v>23</v>
      </c>
      <c r="D112" s="15" t="s">
        <v>18</v>
      </c>
      <c r="E112" s="15">
        <v>4241.1499999999996</v>
      </c>
      <c r="F112" s="5" t="str">
        <f>IF(DMart_Sales_data[[#This Row],[sales]]&gt;3000,"High Sales",IF(DMart_Sales_data[[#This Row],[sales]]&gt;1000,"Medium Sales","Low Sales"))</f>
        <v>High Sales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20</v>
      </c>
      <c r="M112" s="15">
        <v>1168.31</v>
      </c>
      <c r="N112" s="10" t="s">
        <v>99</v>
      </c>
      <c r="O112" s="17" t="s">
        <v>62</v>
      </c>
      <c r="P112" s="2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5" t="str">
        <f>IF(DMart_Sales_data[[#This Row],[sales]]&gt;3000,"High Sales",IF(DMart_Sales_data[[#This Row],[sales]]&gt;1000,"Medium Sales","Low Sales"))</f>
        <v>Low Sales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20</v>
      </c>
      <c r="M113" s="10">
        <v>71.8</v>
      </c>
      <c r="N113" s="10" t="s">
        <v>40</v>
      </c>
      <c r="O113" s="12" t="s">
        <v>67</v>
      </c>
      <c r="P113" s="2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5" t="str">
        <f>IF(DMart_Sales_data[[#This Row],[sales]]&gt;3000,"High Sales",IF(DMart_Sales_data[[#This Row],[sales]]&gt;1000,"Medium Sales","Low Sales"))</f>
        <v>High Sales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20</v>
      </c>
      <c r="M114" s="15">
        <v>546.45000000000005</v>
      </c>
      <c r="N114" s="10" t="s">
        <v>34</v>
      </c>
      <c r="O114" s="17" t="s">
        <v>57</v>
      </c>
      <c r="P114" s="2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156</v>
      </c>
      <c r="B115" s="9" t="s">
        <v>575</v>
      </c>
      <c r="C115" s="4" t="s">
        <v>575</v>
      </c>
      <c r="D115" s="10" t="s">
        <v>36</v>
      </c>
      <c r="E115" s="10">
        <v>1160.96</v>
      </c>
      <c r="F115" s="5" t="str">
        <f>IF(DMart_Sales_data[[#This Row],[sales]]&gt;3000,"High Sales",IF(DMart_Sales_data[[#This Row],[sales]]&gt;1000,"Medium Sales","Low Sales"))</f>
        <v>Medium Sales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31</v>
      </c>
      <c r="L115" s="10" t="s">
        <v>25</v>
      </c>
      <c r="M115" s="10">
        <v>223.68</v>
      </c>
      <c r="N115" s="10" t="s">
        <v>34</v>
      </c>
      <c r="O115" s="12" t="s">
        <v>57</v>
      </c>
      <c r="P115" s="2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5" t="str">
        <f>IF(DMart_Sales_data[[#This Row],[sales]]&gt;3000,"High Sales",IF(DMart_Sales_data[[#This Row],[sales]]&gt;1000,"Medium Sales","Low Sales"))</f>
        <v>Low Sales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20</v>
      </c>
      <c r="M116" s="15">
        <v>153.62</v>
      </c>
      <c r="N116" s="10" t="s">
        <v>99</v>
      </c>
      <c r="O116" s="17" t="s">
        <v>64</v>
      </c>
      <c r="P116" s="2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158</v>
      </c>
      <c r="B117" s="9" t="s">
        <v>28</v>
      </c>
      <c r="C117" s="4" t="s">
        <v>28</v>
      </c>
      <c r="D117" s="10" t="s">
        <v>24</v>
      </c>
      <c r="E117" s="10">
        <v>4475.07</v>
      </c>
      <c r="F117" s="5" t="str">
        <f>IF(DMart_Sales_data[[#This Row],[sales]]&gt;3000,"High Sales",IF(DMart_Sales_data[[#This Row],[sales]]&gt;1000,"Medium Sales","Low Sales"))</f>
        <v>High Sales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19</v>
      </c>
      <c r="L117" s="10" t="s">
        <v>20</v>
      </c>
      <c r="M117" s="10">
        <v>815.29</v>
      </c>
      <c r="N117" s="10" t="s">
        <v>78</v>
      </c>
      <c r="O117" s="12" t="s">
        <v>21</v>
      </c>
      <c r="P117" s="2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5" t="str">
        <f>IF(DMart_Sales_data[[#This Row],[sales]]&gt;3000,"High Sales",IF(DMart_Sales_data[[#This Row],[sales]]&gt;1000,"Medium Sales","Low Sales"))</f>
        <v>High Sales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25</v>
      </c>
      <c r="M118" s="15">
        <v>817.55</v>
      </c>
      <c r="N118" s="10" t="s">
        <v>16</v>
      </c>
      <c r="O118" s="17" t="s">
        <v>94</v>
      </c>
      <c r="P118" s="2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160</v>
      </c>
      <c r="B119" s="9" t="s">
        <v>575</v>
      </c>
      <c r="C119" s="4" t="s">
        <v>575</v>
      </c>
      <c r="D119" s="10" t="s">
        <v>33</v>
      </c>
      <c r="E119" s="10">
        <v>1293.3800000000001</v>
      </c>
      <c r="F119" s="5" t="str">
        <f>IF(DMart_Sales_data[[#This Row],[sales]]&gt;3000,"High Sales",IF(DMart_Sales_data[[#This Row],[sales]]&gt;1000,"Medium Sales","Low Sales"))</f>
        <v>Medium Sales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19</v>
      </c>
      <c r="L119" s="10" t="s">
        <v>20</v>
      </c>
      <c r="M119" s="10">
        <v>289.92</v>
      </c>
      <c r="N119" s="10" t="s">
        <v>16</v>
      </c>
      <c r="O119" s="12" t="s">
        <v>16</v>
      </c>
      <c r="P119" s="2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161</v>
      </c>
      <c r="B120" s="14" t="s">
        <v>23</v>
      </c>
      <c r="C120" s="4" t="s">
        <v>23</v>
      </c>
      <c r="D120" s="15" t="s">
        <v>33</v>
      </c>
      <c r="E120" s="15">
        <v>1995.23</v>
      </c>
      <c r="F120" s="5" t="str">
        <f>IF(DMart_Sales_data[[#This Row],[sales]]&gt;3000,"High Sales",IF(DMart_Sales_data[[#This Row],[sales]]&gt;1000,"Medium Sales","Low Sales"))</f>
        <v>Medium Sales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19</v>
      </c>
      <c r="L120" s="15" t="s">
        <v>20</v>
      </c>
      <c r="M120" s="15">
        <v>274.36</v>
      </c>
      <c r="N120" s="10" t="s">
        <v>40</v>
      </c>
      <c r="O120" s="17" t="s">
        <v>67</v>
      </c>
      <c r="P120" s="2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162</v>
      </c>
      <c r="B121" s="9" t="s">
        <v>28</v>
      </c>
      <c r="C121" s="4" t="s">
        <v>28</v>
      </c>
      <c r="D121" s="10" t="s">
        <v>18</v>
      </c>
      <c r="E121" s="10">
        <v>4869.0600000000004</v>
      </c>
      <c r="F121" s="5" t="str">
        <f>IF(DMart_Sales_data[[#This Row],[sales]]&gt;3000,"High Sales",IF(DMart_Sales_data[[#This Row],[sales]]&gt;1000,"Medium Sales","Low Sales"))</f>
        <v>High Sales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19</v>
      </c>
      <c r="L121" s="10" t="s">
        <v>20</v>
      </c>
      <c r="M121" s="10">
        <v>1022.41</v>
      </c>
      <c r="N121" s="10" t="s">
        <v>78</v>
      </c>
      <c r="O121" s="12" t="s">
        <v>78</v>
      </c>
      <c r="P121" s="2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5" t="str">
        <f>IF(DMart_Sales_data[[#This Row],[sales]]&gt;3000,"High Sales",IF(DMart_Sales_data[[#This Row],[sales]]&gt;1000,"Medium Sales","Low Sales"))</f>
        <v>High Sales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19</v>
      </c>
      <c r="L122" s="15" t="s">
        <v>15</v>
      </c>
      <c r="M122" s="15">
        <v>558.65</v>
      </c>
      <c r="N122" s="10" t="s">
        <v>16</v>
      </c>
      <c r="O122" s="17" t="s">
        <v>51</v>
      </c>
      <c r="P122" s="2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164</v>
      </c>
      <c r="B123" s="9" t="s">
        <v>575</v>
      </c>
      <c r="C123" s="4" t="s">
        <v>575</v>
      </c>
      <c r="D123" s="10" t="s">
        <v>33</v>
      </c>
      <c r="E123" s="10">
        <v>176.35</v>
      </c>
      <c r="F123" s="5" t="str">
        <f>IF(DMart_Sales_data[[#This Row],[sales]]&gt;3000,"High Sales",IF(DMart_Sales_data[[#This Row],[sales]]&gt;1000,"Medium Sales","Low Sales"))</f>
        <v>Low Sales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31</v>
      </c>
      <c r="L123" s="10" t="s">
        <v>25</v>
      </c>
      <c r="M123" s="10">
        <v>40.409999999999997</v>
      </c>
      <c r="N123" s="10" t="s">
        <v>78</v>
      </c>
      <c r="O123" s="12" t="s">
        <v>78</v>
      </c>
      <c r="P123" s="2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165</v>
      </c>
      <c r="B124" s="14" t="s">
        <v>23</v>
      </c>
      <c r="C124" s="4" t="s">
        <v>23</v>
      </c>
      <c r="D124" s="15" t="s">
        <v>36</v>
      </c>
      <c r="E124" s="15">
        <v>4901.0200000000004</v>
      </c>
      <c r="F124" s="5" t="str">
        <f>IF(DMart_Sales_data[[#This Row],[sales]]&gt;3000,"High Sales",IF(DMart_Sales_data[[#This Row],[sales]]&gt;1000,"Medium Sales","Low Sales"))</f>
        <v>High Sales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25</v>
      </c>
      <c r="M124" s="15">
        <v>1045.7</v>
      </c>
      <c r="N124" s="10" t="s">
        <v>26</v>
      </c>
      <c r="O124" s="17" t="s">
        <v>26</v>
      </c>
      <c r="P124" s="2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5" t="str">
        <f>IF(DMart_Sales_data[[#This Row],[sales]]&gt;3000,"High Sales",IF(DMart_Sales_data[[#This Row],[sales]]&gt;1000,"Medium Sales","Low Sales"))</f>
        <v>Medium Sales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25</v>
      </c>
      <c r="M125" s="10">
        <v>179.78</v>
      </c>
      <c r="N125" s="10" t="s">
        <v>34</v>
      </c>
      <c r="O125" s="12" t="s">
        <v>34</v>
      </c>
      <c r="P125" s="2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5" t="str">
        <f>IF(DMart_Sales_data[[#This Row],[sales]]&gt;3000,"High Sales",IF(DMart_Sales_data[[#This Row],[sales]]&gt;1000,"Medium Sales","Low Sales"))</f>
        <v>High Sales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31</v>
      </c>
      <c r="L126" s="15" t="s">
        <v>15</v>
      </c>
      <c r="M126" s="15">
        <v>789.67</v>
      </c>
      <c r="N126" s="10" t="s">
        <v>34</v>
      </c>
      <c r="O126" s="17" t="s">
        <v>29</v>
      </c>
      <c r="P126" s="2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168</v>
      </c>
      <c r="B127" s="9" t="s">
        <v>575</v>
      </c>
      <c r="C127" s="4" t="s">
        <v>575</v>
      </c>
      <c r="D127" s="10" t="s">
        <v>36</v>
      </c>
      <c r="E127" s="10">
        <v>3592.12</v>
      </c>
      <c r="F127" s="5" t="str">
        <f>IF(DMart_Sales_data[[#This Row],[sales]]&gt;3000,"High Sales",IF(DMart_Sales_data[[#This Row],[sales]]&gt;1000,"Medium Sales","Low Sales"))</f>
        <v>High Sales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25</v>
      </c>
      <c r="M127" s="10">
        <v>296.98</v>
      </c>
      <c r="N127" s="10" t="s">
        <v>40</v>
      </c>
      <c r="O127" s="12" t="s">
        <v>67</v>
      </c>
      <c r="P127" s="2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5" t="str">
        <f>IF(DMart_Sales_data[[#This Row],[sales]]&gt;3000,"High Sales",IF(DMart_Sales_data[[#This Row],[sales]]&gt;1000,"Medium Sales","Low Sales"))</f>
        <v>High Sales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31</v>
      </c>
      <c r="L128" s="15" t="s">
        <v>25</v>
      </c>
      <c r="M128" s="15">
        <v>333.34</v>
      </c>
      <c r="N128" s="10" t="s">
        <v>78</v>
      </c>
      <c r="O128" s="17" t="s">
        <v>21</v>
      </c>
      <c r="P128" s="2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170</v>
      </c>
      <c r="B129" s="9" t="s">
        <v>28</v>
      </c>
      <c r="C129" s="4" t="s">
        <v>28</v>
      </c>
      <c r="D129" s="10" t="s">
        <v>18</v>
      </c>
      <c r="E129" s="10">
        <v>4436.8</v>
      </c>
      <c r="F129" s="5" t="str">
        <f>IF(DMart_Sales_data[[#This Row],[sales]]&gt;3000,"High Sales",IF(DMart_Sales_data[[#This Row],[sales]]&gt;1000,"Medium Sales","Low Sales"))</f>
        <v>High Sales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19</v>
      </c>
      <c r="L129" s="10" t="s">
        <v>25</v>
      </c>
      <c r="M129" s="10">
        <v>934.84</v>
      </c>
      <c r="N129" s="10" t="s">
        <v>26</v>
      </c>
      <c r="O129" s="12" t="s">
        <v>26</v>
      </c>
      <c r="P129" s="2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5" t="str">
        <f>IF(DMart_Sales_data[[#This Row],[sales]]&gt;3000,"High Sales",IF(DMart_Sales_data[[#This Row],[sales]]&gt;1000,"Medium Sales","Low Sales"))</f>
        <v>Medium Sales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20</v>
      </c>
      <c r="M130" s="15">
        <v>197.42</v>
      </c>
      <c r="N130" s="10" t="s">
        <v>26</v>
      </c>
      <c r="O130" s="17" t="s">
        <v>38</v>
      </c>
      <c r="P130" s="2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172</v>
      </c>
      <c r="B131" s="9" t="s">
        <v>575</v>
      </c>
      <c r="C131" s="4" t="s">
        <v>575</v>
      </c>
      <c r="D131" s="10" t="s">
        <v>18</v>
      </c>
      <c r="E131" s="10">
        <v>3253.32</v>
      </c>
      <c r="F131" s="5" t="str">
        <f>IF(DMart_Sales_data[[#This Row],[sales]]&gt;3000,"High Sales",IF(DMart_Sales_data[[#This Row],[sales]]&gt;1000,"Medium Sales","Low Sales"))</f>
        <v>High Sales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19</v>
      </c>
      <c r="L131" s="10" t="s">
        <v>15</v>
      </c>
      <c r="M131" s="10">
        <v>293.39999999999998</v>
      </c>
      <c r="N131" s="10" t="s">
        <v>16</v>
      </c>
      <c r="O131" s="12" t="s">
        <v>16</v>
      </c>
      <c r="P131" s="2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173</v>
      </c>
      <c r="B132" s="14" t="s">
        <v>23</v>
      </c>
      <c r="C132" s="4" t="s">
        <v>23</v>
      </c>
      <c r="D132" s="15" t="s">
        <v>13</v>
      </c>
      <c r="E132" s="15">
        <v>2029.16</v>
      </c>
      <c r="F132" s="5" t="str">
        <f>IF(DMart_Sales_data[[#This Row],[sales]]&gt;3000,"High Sales",IF(DMart_Sales_data[[#This Row],[sales]]&gt;1000,"Medium Sales","Low Sales"))</f>
        <v>Medium Sales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20</v>
      </c>
      <c r="M132" s="15">
        <v>602.37</v>
      </c>
      <c r="N132" s="10" t="s">
        <v>34</v>
      </c>
      <c r="O132" s="17" t="s">
        <v>34</v>
      </c>
      <c r="P132" s="2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174</v>
      </c>
      <c r="B133" s="9" t="s">
        <v>28</v>
      </c>
      <c r="C133" s="4" t="s">
        <v>28</v>
      </c>
      <c r="D133" s="10" t="s">
        <v>36</v>
      </c>
      <c r="E133" s="10">
        <v>2675.16</v>
      </c>
      <c r="F133" s="5" t="str">
        <f>IF(DMart_Sales_data[[#This Row],[sales]]&gt;3000,"High Sales",IF(DMart_Sales_data[[#This Row],[sales]]&gt;1000,"Medium Sales","Low Sales"))</f>
        <v>Medium Sales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25</v>
      </c>
      <c r="M133" s="10">
        <v>715.56</v>
      </c>
      <c r="N133" s="10" t="s">
        <v>40</v>
      </c>
      <c r="O133" s="12" t="s">
        <v>67</v>
      </c>
      <c r="P133" s="2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5" t="str">
        <f>IF(DMart_Sales_data[[#This Row],[sales]]&gt;3000,"High Sales",IF(DMart_Sales_data[[#This Row],[sales]]&gt;1000,"Medium Sales","Low Sales"))</f>
        <v>Medium Sales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20</v>
      </c>
      <c r="M134" s="15">
        <v>265.5</v>
      </c>
      <c r="N134" s="10" t="s">
        <v>16</v>
      </c>
      <c r="O134" s="17" t="s">
        <v>51</v>
      </c>
      <c r="P134" s="2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176</v>
      </c>
      <c r="B135" s="9" t="s">
        <v>575</v>
      </c>
      <c r="C135" s="4" t="s">
        <v>575</v>
      </c>
      <c r="D135" s="10" t="s">
        <v>36</v>
      </c>
      <c r="E135" s="10">
        <v>2042.08</v>
      </c>
      <c r="F135" s="5" t="str">
        <f>IF(DMart_Sales_data[[#This Row],[sales]]&gt;3000,"High Sales",IF(DMart_Sales_data[[#This Row],[sales]]&gt;1000,"Medium Sales","Low Sales"))</f>
        <v>Medium Sales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19</v>
      </c>
      <c r="L135" s="10" t="s">
        <v>25</v>
      </c>
      <c r="M135" s="10">
        <v>583.83000000000004</v>
      </c>
      <c r="N135" s="10" t="s">
        <v>16</v>
      </c>
      <c r="O135" s="12" t="s">
        <v>94</v>
      </c>
      <c r="P135" s="2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177</v>
      </c>
      <c r="B136" s="14" t="s">
        <v>23</v>
      </c>
      <c r="C136" s="4" t="s">
        <v>23</v>
      </c>
      <c r="D136" s="15" t="s">
        <v>36</v>
      </c>
      <c r="E136" s="15">
        <v>2373.08</v>
      </c>
      <c r="F136" s="5" t="str">
        <f>IF(DMart_Sales_data[[#This Row],[sales]]&gt;3000,"High Sales",IF(DMart_Sales_data[[#This Row],[sales]]&gt;1000,"Medium Sales","Low Sales"))</f>
        <v>Medium Sales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31</v>
      </c>
      <c r="L136" s="15" t="s">
        <v>20</v>
      </c>
      <c r="M136" s="15">
        <v>478.2</v>
      </c>
      <c r="N136" s="10" t="s">
        <v>40</v>
      </c>
      <c r="O136" s="17" t="s">
        <v>43</v>
      </c>
      <c r="P136" s="2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5" t="str">
        <f>IF(DMart_Sales_data[[#This Row],[sales]]&gt;3000,"High Sales",IF(DMart_Sales_data[[#This Row],[sales]]&gt;1000,"Medium Sales","Low Sales"))</f>
        <v>Medium Sales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19</v>
      </c>
      <c r="L137" s="10" t="s">
        <v>20</v>
      </c>
      <c r="M137" s="10">
        <v>201.73</v>
      </c>
      <c r="N137" s="10" t="s">
        <v>40</v>
      </c>
      <c r="O137" s="12" t="s">
        <v>43</v>
      </c>
      <c r="P137" s="2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5" t="str">
        <f>IF(DMart_Sales_data[[#This Row],[sales]]&gt;3000,"High Sales",IF(DMart_Sales_data[[#This Row],[sales]]&gt;1000,"Medium Sales","Low Sales"))</f>
        <v>High Sales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31</v>
      </c>
      <c r="L138" s="15" t="s">
        <v>15</v>
      </c>
      <c r="M138" s="15">
        <v>428.41</v>
      </c>
      <c r="N138" s="10" t="s">
        <v>26</v>
      </c>
      <c r="O138" s="17" t="s">
        <v>38</v>
      </c>
      <c r="P138" s="2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180</v>
      </c>
      <c r="B139" s="9" t="s">
        <v>575</v>
      </c>
      <c r="C139" s="4" t="s">
        <v>575</v>
      </c>
      <c r="D139" s="10" t="s">
        <v>24</v>
      </c>
      <c r="E139" s="10">
        <v>3818.9</v>
      </c>
      <c r="F139" s="5" t="str">
        <f>IF(DMart_Sales_data[[#This Row],[sales]]&gt;3000,"High Sales",IF(DMart_Sales_data[[#This Row],[sales]]&gt;1000,"Medium Sales","Low Sales"))</f>
        <v>High Sales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25</v>
      </c>
      <c r="M139" s="10">
        <v>497.78</v>
      </c>
      <c r="N139" s="10" t="s">
        <v>26</v>
      </c>
      <c r="O139" s="12" t="s">
        <v>38</v>
      </c>
      <c r="P139" s="2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5" t="str">
        <f>IF(DMart_Sales_data[[#This Row],[sales]]&gt;3000,"High Sales",IF(DMart_Sales_data[[#This Row],[sales]]&gt;1000,"Medium Sales","Low Sales"))</f>
        <v>Medium Sales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0" t="s">
        <v>26</v>
      </c>
      <c r="O140" s="17" t="s">
        <v>38</v>
      </c>
      <c r="P140" s="2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182</v>
      </c>
      <c r="B141" s="9" t="s">
        <v>28</v>
      </c>
      <c r="C141" s="4" t="s">
        <v>28</v>
      </c>
      <c r="D141" s="10" t="s">
        <v>24</v>
      </c>
      <c r="E141" s="10">
        <v>4890.63</v>
      </c>
      <c r="F141" s="5" t="str">
        <f>IF(DMart_Sales_data[[#This Row],[sales]]&gt;3000,"High Sales",IF(DMart_Sales_data[[#This Row],[sales]]&gt;1000,"Medium Sales","Low Sales"))</f>
        <v>High Sales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25</v>
      </c>
      <c r="M141" s="10">
        <v>466.35</v>
      </c>
      <c r="N141" s="10" t="s">
        <v>16</v>
      </c>
      <c r="O141" s="12" t="s">
        <v>51</v>
      </c>
      <c r="P141" s="2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5" t="str">
        <f>IF(DMart_Sales_data[[#This Row],[sales]]&gt;3000,"High Sales",IF(DMart_Sales_data[[#This Row],[sales]]&gt;1000,"Medium Sales","Low Sales"))</f>
        <v>Low Sales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25</v>
      </c>
      <c r="M142" s="15">
        <v>44.61</v>
      </c>
      <c r="N142" s="10" t="s">
        <v>99</v>
      </c>
      <c r="O142" s="17" t="s">
        <v>64</v>
      </c>
      <c r="P142" s="2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184</v>
      </c>
      <c r="B143" s="9" t="s">
        <v>575</v>
      </c>
      <c r="C143" s="4" t="s">
        <v>575</v>
      </c>
      <c r="D143" s="10" t="s">
        <v>13</v>
      </c>
      <c r="E143" s="10">
        <v>2986.89</v>
      </c>
      <c r="F143" s="5" t="str">
        <f>IF(DMart_Sales_data[[#This Row],[sales]]&gt;3000,"High Sales",IF(DMart_Sales_data[[#This Row],[sales]]&gt;1000,"Medium Sales","Low Sales"))</f>
        <v>Medium Sales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19</v>
      </c>
      <c r="L143" s="10" t="s">
        <v>25</v>
      </c>
      <c r="M143" s="10">
        <v>699.11</v>
      </c>
      <c r="N143" s="10" t="s">
        <v>40</v>
      </c>
      <c r="O143" s="12" t="s">
        <v>67</v>
      </c>
      <c r="P143" s="2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185</v>
      </c>
      <c r="B144" s="14" t="s">
        <v>23</v>
      </c>
      <c r="C144" s="4" t="s">
        <v>23</v>
      </c>
      <c r="D144" s="15" t="s">
        <v>36</v>
      </c>
      <c r="E144" s="15">
        <v>2959.64</v>
      </c>
      <c r="F144" s="5" t="str">
        <f>IF(DMart_Sales_data[[#This Row],[sales]]&gt;3000,"High Sales",IF(DMart_Sales_data[[#This Row],[sales]]&gt;1000,"Medium Sales","Low Sales"))</f>
        <v>Medium Sales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31</v>
      </c>
      <c r="L144" s="15" t="s">
        <v>20</v>
      </c>
      <c r="M144" s="15">
        <v>858.27</v>
      </c>
      <c r="N144" s="10" t="s">
        <v>99</v>
      </c>
      <c r="O144" s="17" t="s">
        <v>99</v>
      </c>
      <c r="P144" s="2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186</v>
      </c>
      <c r="B145" s="9" t="s">
        <v>28</v>
      </c>
      <c r="C145" s="4" t="s">
        <v>28</v>
      </c>
      <c r="D145" s="10" t="s">
        <v>36</v>
      </c>
      <c r="E145" s="10">
        <v>277.85000000000002</v>
      </c>
      <c r="F145" s="5" t="str">
        <f>IF(DMart_Sales_data[[#This Row],[sales]]&gt;3000,"High Sales",IF(DMart_Sales_data[[#This Row],[sales]]&gt;1000,"Medium Sales","Low Sales"))</f>
        <v>Low Sales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31</v>
      </c>
      <c r="L145" s="10" t="s">
        <v>15</v>
      </c>
      <c r="M145" s="10">
        <v>46.23</v>
      </c>
      <c r="N145" s="10" t="s">
        <v>26</v>
      </c>
      <c r="O145" s="12" t="s">
        <v>26</v>
      </c>
      <c r="P145" s="2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5" t="str">
        <f>IF(DMart_Sales_data[[#This Row],[sales]]&gt;3000,"High Sales",IF(DMart_Sales_data[[#This Row],[sales]]&gt;1000,"Medium Sales","Low Sales"))</f>
        <v>Medium Sales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31</v>
      </c>
      <c r="L146" s="15" t="s">
        <v>25</v>
      </c>
      <c r="M146" s="15">
        <v>171.37</v>
      </c>
      <c r="N146" s="10" t="s">
        <v>26</v>
      </c>
      <c r="O146" s="17" t="s">
        <v>38</v>
      </c>
      <c r="P146" s="2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188</v>
      </c>
      <c r="B147" s="9" t="s">
        <v>575</v>
      </c>
      <c r="C147" s="4" t="s">
        <v>575</v>
      </c>
      <c r="D147" s="10" t="s">
        <v>33</v>
      </c>
      <c r="E147" s="10">
        <v>4537.16</v>
      </c>
      <c r="F147" s="5" t="str">
        <f>IF(DMart_Sales_data[[#This Row],[sales]]&gt;3000,"High Sales",IF(DMart_Sales_data[[#This Row],[sales]]&gt;1000,"Medium Sales","Low Sales"))</f>
        <v>High Sales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25</v>
      </c>
      <c r="M147" s="10">
        <v>1201.33</v>
      </c>
      <c r="N147" s="10" t="s">
        <v>26</v>
      </c>
      <c r="O147" s="12" t="s">
        <v>26</v>
      </c>
      <c r="P147" s="2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189</v>
      </c>
      <c r="B148" s="14" t="s">
        <v>23</v>
      </c>
      <c r="C148" s="4" t="s">
        <v>23</v>
      </c>
      <c r="D148" s="15" t="s">
        <v>13</v>
      </c>
      <c r="E148" s="15">
        <v>2768.12</v>
      </c>
      <c r="F148" s="5" t="str">
        <f>IF(DMart_Sales_data[[#This Row],[sales]]&gt;3000,"High Sales",IF(DMart_Sales_data[[#This Row],[sales]]&gt;1000,"Medium Sales","Low Sales"))</f>
        <v>Medium Sales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19</v>
      </c>
      <c r="L148" s="15" t="s">
        <v>20</v>
      </c>
      <c r="M148" s="15">
        <v>609.51</v>
      </c>
      <c r="N148" s="10" t="s">
        <v>26</v>
      </c>
      <c r="O148" s="17" t="s">
        <v>47</v>
      </c>
      <c r="P148" s="2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5" t="str">
        <f>IF(DMart_Sales_data[[#This Row],[sales]]&gt;3000,"High Sales",IF(DMart_Sales_data[[#This Row],[sales]]&gt;1000,"Medium Sales","Low Sales"))</f>
        <v>Medium Sales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25</v>
      </c>
      <c r="M149" s="10">
        <v>248.9</v>
      </c>
      <c r="N149" s="10" t="s">
        <v>16</v>
      </c>
      <c r="O149" s="12" t="s">
        <v>16</v>
      </c>
      <c r="P149" s="2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5" t="str">
        <f>IF(DMart_Sales_data[[#This Row],[sales]]&gt;3000,"High Sales",IF(DMart_Sales_data[[#This Row],[sales]]&gt;1000,"Medium Sales","Low Sales"))</f>
        <v>Medium Sales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31</v>
      </c>
      <c r="L150" s="15" t="s">
        <v>25</v>
      </c>
      <c r="M150" s="15">
        <v>394.17</v>
      </c>
      <c r="N150" s="10" t="s">
        <v>40</v>
      </c>
      <c r="O150" s="17" t="s">
        <v>43</v>
      </c>
      <c r="P150" s="2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192</v>
      </c>
      <c r="B151" s="9" t="s">
        <v>575</v>
      </c>
      <c r="C151" s="4" t="s">
        <v>575</v>
      </c>
      <c r="D151" s="10" t="s">
        <v>24</v>
      </c>
      <c r="E151" s="10">
        <v>4451.99</v>
      </c>
      <c r="F151" s="5" t="str">
        <f>IF(DMart_Sales_data[[#This Row],[sales]]&gt;3000,"High Sales",IF(DMart_Sales_data[[#This Row],[sales]]&gt;1000,"Medium Sales","Low Sales"))</f>
        <v>High Sales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19</v>
      </c>
      <c r="L151" s="10" t="s">
        <v>20</v>
      </c>
      <c r="M151" s="10">
        <v>1205.9000000000001</v>
      </c>
      <c r="N151" s="10" t="s">
        <v>26</v>
      </c>
      <c r="O151" s="12" t="s">
        <v>26</v>
      </c>
      <c r="P151" s="2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5" t="str">
        <f>IF(DMart_Sales_data[[#This Row],[sales]]&gt;3000,"High Sales",IF(DMart_Sales_data[[#This Row],[sales]]&gt;1000,"Medium Sales","Low Sales"))</f>
        <v>Medium Sales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19</v>
      </c>
      <c r="L152" s="15" t="s">
        <v>20</v>
      </c>
      <c r="M152" s="15">
        <v>408.16</v>
      </c>
      <c r="N152" s="10" t="s">
        <v>16</v>
      </c>
      <c r="O152" s="17" t="s">
        <v>94</v>
      </c>
      <c r="P152" s="2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194</v>
      </c>
      <c r="B153" s="9" t="s">
        <v>28</v>
      </c>
      <c r="C153" s="4" t="s">
        <v>28</v>
      </c>
      <c r="D153" s="10" t="s">
        <v>24</v>
      </c>
      <c r="E153" s="10">
        <v>4309.92</v>
      </c>
      <c r="F153" s="5" t="str">
        <f>IF(DMart_Sales_data[[#This Row],[sales]]&gt;3000,"High Sales",IF(DMart_Sales_data[[#This Row],[sales]]&gt;1000,"Medium Sales","Low Sales"))</f>
        <v>High Sales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20</v>
      </c>
      <c r="M153" s="10">
        <v>617.32000000000005</v>
      </c>
      <c r="N153" s="10" t="s">
        <v>40</v>
      </c>
      <c r="O153" s="12" t="s">
        <v>67</v>
      </c>
      <c r="P153" s="2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5" t="str">
        <f>IF(DMart_Sales_data[[#This Row],[sales]]&gt;3000,"High Sales",IF(DMart_Sales_data[[#This Row],[sales]]&gt;1000,"Medium Sales","Low Sales"))</f>
        <v>Medium Sales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19</v>
      </c>
      <c r="L154" s="15" t="s">
        <v>15</v>
      </c>
      <c r="M154" s="15">
        <v>253.65</v>
      </c>
      <c r="N154" s="10" t="s">
        <v>40</v>
      </c>
      <c r="O154" s="17" t="s">
        <v>43</v>
      </c>
      <c r="P154" s="2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196</v>
      </c>
      <c r="B155" s="9" t="s">
        <v>575</v>
      </c>
      <c r="C155" s="4" t="s">
        <v>575</v>
      </c>
      <c r="D155" s="10" t="s">
        <v>13</v>
      </c>
      <c r="E155" s="10">
        <v>2704.37</v>
      </c>
      <c r="F155" s="5" t="str">
        <f>IF(DMart_Sales_data[[#This Row],[sales]]&gt;3000,"High Sales",IF(DMart_Sales_data[[#This Row],[sales]]&gt;1000,"Medium Sales","Low Sales"))</f>
        <v>Medium Sales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19</v>
      </c>
      <c r="L155" s="10" t="s">
        <v>15</v>
      </c>
      <c r="M155" s="10">
        <v>742.76</v>
      </c>
      <c r="N155" s="10" t="s">
        <v>16</v>
      </c>
      <c r="O155" s="12" t="s">
        <v>51</v>
      </c>
      <c r="P155" s="2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197</v>
      </c>
      <c r="B156" s="14" t="s">
        <v>23</v>
      </c>
      <c r="C156" s="4" t="s">
        <v>23</v>
      </c>
      <c r="D156" s="15" t="s">
        <v>13</v>
      </c>
      <c r="E156" s="15">
        <v>804.72</v>
      </c>
      <c r="F156" s="5" t="str">
        <f>IF(DMart_Sales_data[[#This Row],[sales]]&gt;3000,"High Sales",IF(DMart_Sales_data[[#This Row],[sales]]&gt;1000,"Medium Sales","Low Sales"))</f>
        <v>Low Sales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19</v>
      </c>
      <c r="L156" s="15" t="s">
        <v>15</v>
      </c>
      <c r="M156" s="15">
        <v>182.68</v>
      </c>
      <c r="N156" s="10" t="s">
        <v>16</v>
      </c>
      <c r="O156" s="17" t="s">
        <v>94</v>
      </c>
      <c r="P156" s="2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198</v>
      </c>
      <c r="B157" s="9" t="s">
        <v>28</v>
      </c>
      <c r="C157" s="4" t="s">
        <v>28</v>
      </c>
      <c r="D157" s="10" t="s">
        <v>24</v>
      </c>
      <c r="E157" s="10">
        <v>4142.6499999999996</v>
      </c>
      <c r="F157" s="5" t="str">
        <f>IF(DMart_Sales_data[[#This Row],[sales]]&gt;3000,"High Sales",IF(DMart_Sales_data[[#This Row],[sales]]&gt;1000,"Medium Sales","Low Sales"))</f>
        <v>High Sales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25</v>
      </c>
      <c r="M157" s="10">
        <v>735.37</v>
      </c>
      <c r="N157" s="10" t="s">
        <v>78</v>
      </c>
      <c r="O157" s="12" t="s">
        <v>21</v>
      </c>
      <c r="P157" s="2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5" t="str">
        <f>IF(DMart_Sales_data[[#This Row],[sales]]&gt;3000,"High Sales",IF(DMart_Sales_data[[#This Row],[sales]]&gt;1000,"Medium Sales","Low Sales"))</f>
        <v>High Sales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0" t="s">
        <v>40</v>
      </c>
      <c r="O158" s="17" t="s">
        <v>43</v>
      </c>
      <c r="P158" s="2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200</v>
      </c>
      <c r="B159" s="9" t="s">
        <v>575</v>
      </c>
      <c r="C159" s="4" t="s">
        <v>575</v>
      </c>
      <c r="D159" s="10" t="s">
        <v>13</v>
      </c>
      <c r="E159" s="10">
        <v>2697.46</v>
      </c>
      <c r="F159" s="5" t="str">
        <f>IF(DMart_Sales_data[[#This Row],[sales]]&gt;3000,"High Sales",IF(DMart_Sales_data[[#This Row],[sales]]&gt;1000,"Medium Sales","Low Sales"))</f>
        <v>Medium Sales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19</v>
      </c>
      <c r="L159" s="10" t="s">
        <v>25</v>
      </c>
      <c r="M159" s="10">
        <v>597.1</v>
      </c>
      <c r="N159" s="10" t="s">
        <v>78</v>
      </c>
      <c r="O159" s="12" t="s">
        <v>54</v>
      </c>
      <c r="P159" s="2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201</v>
      </c>
      <c r="B160" s="14" t="s">
        <v>23</v>
      </c>
      <c r="C160" s="4" t="s">
        <v>23</v>
      </c>
      <c r="D160" s="15" t="s">
        <v>24</v>
      </c>
      <c r="E160" s="15">
        <v>226.92</v>
      </c>
      <c r="F160" s="5" t="str">
        <f>IF(DMart_Sales_data[[#This Row],[sales]]&gt;3000,"High Sales",IF(DMart_Sales_data[[#This Row],[sales]]&gt;1000,"Medium Sales","Low Sales"))</f>
        <v>Low Sales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0" t="s">
        <v>78</v>
      </c>
      <c r="O160" s="17" t="s">
        <v>54</v>
      </c>
      <c r="P160" s="2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5" t="str">
        <f>IF(DMart_Sales_data[[#This Row],[sales]]&gt;3000,"High Sales",IF(DMart_Sales_data[[#This Row],[sales]]&gt;1000,"Medium Sales","Low Sales"))</f>
        <v>Medium Sales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19</v>
      </c>
      <c r="L161" s="10" t="s">
        <v>25</v>
      </c>
      <c r="M161" s="10">
        <v>508.56</v>
      </c>
      <c r="N161" s="10" t="s">
        <v>26</v>
      </c>
      <c r="O161" s="12" t="s">
        <v>47</v>
      </c>
      <c r="P161" s="2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5" t="str">
        <f>IF(DMart_Sales_data[[#This Row],[sales]]&gt;3000,"High Sales",IF(DMart_Sales_data[[#This Row],[sales]]&gt;1000,"Medium Sales","Low Sales"))</f>
        <v>Medium Sales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31</v>
      </c>
      <c r="L162" s="15" t="s">
        <v>25</v>
      </c>
      <c r="M162" s="15">
        <v>166.4</v>
      </c>
      <c r="N162" s="10" t="s">
        <v>34</v>
      </c>
      <c r="O162" s="17" t="s">
        <v>34</v>
      </c>
      <c r="P162" s="2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204</v>
      </c>
      <c r="B163" s="9" t="s">
        <v>575</v>
      </c>
      <c r="C163" s="4" t="s">
        <v>575</v>
      </c>
      <c r="D163" s="10" t="s">
        <v>33</v>
      </c>
      <c r="E163" s="10">
        <v>2125.5300000000002</v>
      </c>
      <c r="F163" s="5" t="str">
        <f>IF(DMart_Sales_data[[#This Row],[sales]]&gt;3000,"High Sales",IF(DMart_Sales_data[[#This Row],[sales]]&gt;1000,"Medium Sales","Low Sales"))</f>
        <v>Medium Sales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31</v>
      </c>
      <c r="L163" s="10" t="s">
        <v>20</v>
      </c>
      <c r="M163" s="10">
        <v>292.08</v>
      </c>
      <c r="N163" s="10" t="s">
        <v>34</v>
      </c>
      <c r="O163" s="12" t="s">
        <v>57</v>
      </c>
      <c r="P163" s="2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5" t="str">
        <f>IF(DMart_Sales_data[[#This Row],[sales]]&gt;3000,"High Sales",IF(DMart_Sales_data[[#This Row],[sales]]&gt;1000,"Medium Sales","Low Sales"))</f>
        <v>High Sales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19</v>
      </c>
      <c r="L164" s="15" t="s">
        <v>15</v>
      </c>
      <c r="M164" s="15">
        <v>579.12</v>
      </c>
      <c r="N164" s="10" t="s">
        <v>40</v>
      </c>
      <c r="O164" s="17" t="s">
        <v>40</v>
      </c>
      <c r="P164" s="2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206</v>
      </c>
      <c r="B165" s="9" t="s">
        <v>28</v>
      </c>
      <c r="C165" s="4" t="s">
        <v>28</v>
      </c>
      <c r="D165" s="10" t="s">
        <v>33</v>
      </c>
      <c r="E165" s="10">
        <v>3871.06</v>
      </c>
      <c r="F165" s="5" t="str">
        <f>IF(DMart_Sales_data[[#This Row],[sales]]&gt;3000,"High Sales",IF(DMart_Sales_data[[#This Row],[sales]]&gt;1000,"Medium Sales","Low Sales"))</f>
        <v>High Sales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31</v>
      </c>
      <c r="L165" s="10" t="s">
        <v>20</v>
      </c>
      <c r="M165" s="10">
        <v>230.99</v>
      </c>
      <c r="N165" s="10" t="s">
        <v>34</v>
      </c>
      <c r="O165" s="12" t="s">
        <v>34</v>
      </c>
      <c r="P165" s="2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5" t="str">
        <f>IF(DMart_Sales_data[[#This Row],[sales]]&gt;3000,"High Sales",IF(DMart_Sales_data[[#This Row],[sales]]&gt;1000,"Medium Sales","Low Sales"))</f>
        <v>Medium Sales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31</v>
      </c>
      <c r="L166" s="15" t="s">
        <v>25</v>
      </c>
      <c r="M166" s="15">
        <v>330.45</v>
      </c>
      <c r="N166" s="10" t="s">
        <v>99</v>
      </c>
      <c r="O166" s="17" t="s">
        <v>62</v>
      </c>
      <c r="P166" s="2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208</v>
      </c>
      <c r="B167" s="9" t="s">
        <v>575</v>
      </c>
      <c r="C167" s="4" t="s">
        <v>575</v>
      </c>
      <c r="D167" s="10" t="s">
        <v>36</v>
      </c>
      <c r="E167" s="10">
        <v>4926.2700000000004</v>
      </c>
      <c r="F167" s="5" t="str">
        <f>IF(DMart_Sales_data[[#This Row],[sales]]&gt;3000,"High Sales",IF(DMart_Sales_data[[#This Row],[sales]]&gt;1000,"Medium Sales","Low Sales"))</f>
        <v>High Sales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31</v>
      </c>
      <c r="L167" s="10" t="s">
        <v>25</v>
      </c>
      <c r="M167" s="10">
        <v>440.26</v>
      </c>
      <c r="N167" s="10" t="s">
        <v>40</v>
      </c>
      <c r="O167" s="12" t="s">
        <v>40</v>
      </c>
      <c r="P167" s="2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209</v>
      </c>
      <c r="B168" s="14" t="s">
        <v>23</v>
      </c>
      <c r="C168" s="4" t="s">
        <v>23</v>
      </c>
      <c r="D168" s="15" t="s">
        <v>24</v>
      </c>
      <c r="E168" s="15">
        <v>4525.7299999999996</v>
      </c>
      <c r="F168" s="5" t="str">
        <f>IF(DMart_Sales_data[[#This Row],[sales]]&gt;3000,"High Sales",IF(DMart_Sales_data[[#This Row],[sales]]&gt;1000,"Medium Sales","Low Sales"))</f>
        <v>High Sales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19</v>
      </c>
      <c r="L168" s="15" t="s">
        <v>15</v>
      </c>
      <c r="M168" s="15">
        <v>332.86</v>
      </c>
      <c r="N168" s="10" t="s">
        <v>78</v>
      </c>
      <c r="O168" s="17" t="s">
        <v>54</v>
      </c>
      <c r="P168" s="2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210</v>
      </c>
      <c r="B169" s="9" t="s">
        <v>28</v>
      </c>
      <c r="C169" s="4" t="s">
        <v>28</v>
      </c>
      <c r="D169" s="10" t="s">
        <v>36</v>
      </c>
      <c r="E169" s="10">
        <v>2690.5</v>
      </c>
      <c r="F169" s="5" t="str">
        <f>IF(DMart_Sales_data[[#This Row],[sales]]&gt;3000,"High Sales",IF(DMart_Sales_data[[#This Row],[sales]]&gt;1000,"Medium Sales","Low Sales"))</f>
        <v>Medium Sales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25</v>
      </c>
      <c r="M169" s="10">
        <v>418.96</v>
      </c>
      <c r="N169" s="10" t="s">
        <v>40</v>
      </c>
      <c r="O169" s="12" t="s">
        <v>40</v>
      </c>
      <c r="P169" s="2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5" t="str">
        <f>IF(DMart_Sales_data[[#This Row],[sales]]&gt;3000,"High Sales",IF(DMart_Sales_data[[#This Row],[sales]]&gt;1000,"Medium Sales","Low Sales"))</f>
        <v>Medium Sales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19</v>
      </c>
      <c r="L170" s="15" t="s">
        <v>15</v>
      </c>
      <c r="M170" s="15">
        <v>458.18</v>
      </c>
      <c r="N170" s="10" t="s">
        <v>78</v>
      </c>
      <c r="O170" s="17" t="s">
        <v>54</v>
      </c>
      <c r="P170" s="2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212</v>
      </c>
      <c r="B171" s="9" t="s">
        <v>575</v>
      </c>
      <c r="C171" s="4" t="s">
        <v>575</v>
      </c>
      <c r="D171" s="10" t="s">
        <v>24</v>
      </c>
      <c r="E171" s="10">
        <v>4516.2</v>
      </c>
      <c r="F171" s="5" t="str">
        <f>IF(DMart_Sales_data[[#This Row],[sales]]&gt;3000,"High Sales",IF(DMart_Sales_data[[#This Row],[sales]]&gt;1000,"Medium Sales","Low Sales"))</f>
        <v>High Sales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19</v>
      </c>
      <c r="L171" s="10" t="s">
        <v>15</v>
      </c>
      <c r="M171" s="10">
        <v>522.95000000000005</v>
      </c>
      <c r="N171" s="10" t="s">
        <v>78</v>
      </c>
      <c r="O171" s="12" t="s">
        <v>21</v>
      </c>
      <c r="P171" s="2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213</v>
      </c>
      <c r="B172" s="14" t="s">
        <v>23</v>
      </c>
      <c r="C172" s="4" t="s">
        <v>23</v>
      </c>
      <c r="D172" s="15" t="s">
        <v>24</v>
      </c>
      <c r="E172" s="15">
        <v>3217.11</v>
      </c>
      <c r="F172" s="5" t="str">
        <f>IF(DMart_Sales_data[[#This Row],[sales]]&gt;3000,"High Sales",IF(DMart_Sales_data[[#This Row],[sales]]&gt;1000,"Medium Sales","Low Sales"))</f>
        <v>High Sales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0" t="s">
        <v>40</v>
      </c>
      <c r="O172" s="17" t="s">
        <v>43</v>
      </c>
      <c r="P172" s="2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5" t="str">
        <f>IF(DMart_Sales_data[[#This Row],[sales]]&gt;3000,"High Sales",IF(DMart_Sales_data[[#This Row],[sales]]&gt;1000,"Medium Sales","Low Sales"))</f>
        <v>Medium Sales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19</v>
      </c>
      <c r="L173" s="10" t="s">
        <v>20</v>
      </c>
      <c r="M173" s="10">
        <v>250.2</v>
      </c>
      <c r="N173" s="10" t="s">
        <v>26</v>
      </c>
      <c r="O173" s="12" t="s">
        <v>38</v>
      </c>
      <c r="P173" s="2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5" t="str">
        <f>IF(DMart_Sales_data[[#This Row],[sales]]&gt;3000,"High Sales",IF(DMart_Sales_data[[#This Row],[sales]]&gt;1000,"Medium Sales","Low Sales"))</f>
        <v>High Sales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19</v>
      </c>
      <c r="L174" s="15" t="s">
        <v>15</v>
      </c>
      <c r="M174" s="15">
        <v>729.42</v>
      </c>
      <c r="N174" s="10" t="s">
        <v>16</v>
      </c>
      <c r="O174" s="17" t="s">
        <v>16</v>
      </c>
      <c r="P174" s="2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216</v>
      </c>
      <c r="B175" s="9" t="s">
        <v>575</v>
      </c>
      <c r="C175" s="4" t="s">
        <v>575</v>
      </c>
      <c r="D175" s="10" t="s">
        <v>13</v>
      </c>
      <c r="E175" s="10">
        <v>1251.98</v>
      </c>
      <c r="F175" s="5" t="str">
        <f>IF(DMart_Sales_data[[#This Row],[sales]]&gt;3000,"High Sales",IF(DMart_Sales_data[[#This Row],[sales]]&gt;1000,"Medium Sales","Low Sales"))</f>
        <v>Medium Sales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19</v>
      </c>
      <c r="L175" s="10" t="s">
        <v>15</v>
      </c>
      <c r="M175" s="10">
        <v>253.73</v>
      </c>
      <c r="N175" s="10" t="s">
        <v>34</v>
      </c>
      <c r="O175" s="12" t="s">
        <v>34</v>
      </c>
      <c r="P175" s="2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5" t="str">
        <f>IF(DMart_Sales_data[[#This Row],[sales]]&gt;3000,"High Sales",IF(DMart_Sales_data[[#This Row],[sales]]&gt;1000,"Medium Sales","Low Sales"))</f>
        <v>High Sales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31</v>
      </c>
      <c r="L176" s="15" t="s">
        <v>15</v>
      </c>
      <c r="M176" s="15">
        <v>941.87</v>
      </c>
      <c r="N176" s="10" t="s">
        <v>99</v>
      </c>
      <c r="O176" s="17" t="s">
        <v>62</v>
      </c>
      <c r="P176" s="2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218</v>
      </c>
      <c r="B177" s="9" t="s">
        <v>28</v>
      </c>
      <c r="C177" s="4" t="s">
        <v>28</v>
      </c>
      <c r="D177" s="10" t="s">
        <v>18</v>
      </c>
      <c r="E177" s="10">
        <v>2703.93</v>
      </c>
      <c r="F177" s="5" t="str">
        <f>IF(DMart_Sales_data[[#This Row],[sales]]&gt;3000,"High Sales",IF(DMart_Sales_data[[#This Row],[sales]]&gt;1000,"Medium Sales","Low Sales"))</f>
        <v>Medium Sales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19</v>
      </c>
      <c r="L177" s="10" t="s">
        <v>15</v>
      </c>
      <c r="M177" s="10">
        <v>671.84</v>
      </c>
      <c r="N177" s="10" t="s">
        <v>34</v>
      </c>
      <c r="O177" s="12" t="s">
        <v>57</v>
      </c>
      <c r="P177" s="2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5" t="str">
        <f>IF(DMart_Sales_data[[#This Row],[sales]]&gt;3000,"High Sales",IF(DMart_Sales_data[[#This Row],[sales]]&gt;1000,"Medium Sales","Low Sales"))</f>
        <v>High Sales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19</v>
      </c>
      <c r="L178" s="15" t="s">
        <v>15</v>
      </c>
      <c r="M178" s="15">
        <v>814</v>
      </c>
      <c r="N178" s="10" t="s">
        <v>40</v>
      </c>
      <c r="O178" s="17" t="s">
        <v>40</v>
      </c>
      <c r="P178" s="2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220</v>
      </c>
      <c r="B179" s="9" t="s">
        <v>575</v>
      </c>
      <c r="C179" s="4" t="s">
        <v>575</v>
      </c>
      <c r="D179" s="10" t="s">
        <v>33</v>
      </c>
      <c r="E179" s="10">
        <v>540.72</v>
      </c>
      <c r="F179" s="5" t="str">
        <f>IF(DMart_Sales_data[[#This Row],[sales]]&gt;3000,"High Sales",IF(DMart_Sales_data[[#This Row],[sales]]&gt;1000,"Medium Sales","Low Sales"))</f>
        <v>Low Sales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20</v>
      </c>
      <c r="M179" s="10">
        <v>66.459999999999994</v>
      </c>
      <c r="N179" s="10" t="s">
        <v>26</v>
      </c>
      <c r="O179" s="12" t="s">
        <v>38</v>
      </c>
      <c r="P179" s="2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221</v>
      </c>
      <c r="B180" s="14" t="s">
        <v>23</v>
      </c>
      <c r="C180" s="4" t="s">
        <v>23</v>
      </c>
      <c r="D180" s="15" t="s">
        <v>13</v>
      </c>
      <c r="E180" s="15">
        <v>1616.59</v>
      </c>
      <c r="F180" s="5" t="str">
        <f>IF(DMart_Sales_data[[#This Row],[sales]]&gt;3000,"High Sales",IF(DMart_Sales_data[[#This Row],[sales]]&gt;1000,"Medium Sales","Low Sales"))</f>
        <v>Medium Sales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31</v>
      </c>
      <c r="L180" s="15" t="s">
        <v>15</v>
      </c>
      <c r="M180" s="15">
        <v>479.33</v>
      </c>
      <c r="N180" s="10" t="s">
        <v>26</v>
      </c>
      <c r="O180" s="17" t="s">
        <v>26</v>
      </c>
      <c r="P180" s="2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222</v>
      </c>
      <c r="B181" s="9" t="s">
        <v>28</v>
      </c>
      <c r="C181" s="4" t="s">
        <v>28</v>
      </c>
      <c r="D181" s="10" t="s">
        <v>24</v>
      </c>
      <c r="E181" s="10">
        <v>2191</v>
      </c>
      <c r="F181" s="5" t="str">
        <f>IF(DMart_Sales_data[[#This Row],[sales]]&gt;3000,"High Sales",IF(DMart_Sales_data[[#This Row],[sales]]&gt;1000,"Medium Sales","Low Sales"))</f>
        <v>Medium Sales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31</v>
      </c>
      <c r="L181" s="10" t="s">
        <v>25</v>
      </c>
      <c r="M181" s="10">
        <v>336.28</v>
      </c>
      <c r="N181" s="10" t="s">
        <v>16</v>
      </c>
      <c r="O181" s="12" t="s">
        <v>94</v>
      </c>
      <c r="P181" s="2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5" t="str">
        <f>IF(DMart_Sales_data[[#This Row],[sales]]&gt;3000,"High Sales",IF(DMart_Sales_data[[#This Row],[sales]]&gt;1000,"Medium Sales","Low Sales"))</f>
        <v>Medium Sales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19</v>
      </c>
      <c r="L182" s="15" t="s">
        <v>25</v>
      </c>
      <c r="M182" s="15">
        <v>523.61</v>
      </c>
      <c r="N182" s="10" t="s">
        <v>99</v>
      </c>
      <c r="O182" s="17" t="s">
        <v>64</v>
      </c>
      <c r="P182" s="2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224</v>
      </c>
      <c r="B183" s="9" t="s">
        <v>575</v>
      </c>
      <c r="C183" s="4" t="s">
        <v>575</v>
      </c>
      <c r="D183" s="10" t="s">
        <v>33</v>
      </c>
      <c r="E183" s="10">
        <v>3913.59</v>
      </c>
      <c r="F183" s="5" t="str">
        <f>IF(DMart_Sales_data[[#This Row],[sales]]&gt;3000,"High Sales",IF(DMart_Sales_data[[#This Row],[sales]]&gt;1000,"Medium Sales","Low Sales"))</f>
        <v>High Sales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31</v>
      </c>
      <c r="L183" s="10" t="s">
        <v>15</v>
      </c>
      <c r="M183" s="10">
        <v>235.73</v>
      </c>
      <c r="N183" s="10" t="s">
        <v>40</v>
      </c>
      <c r="O183" s="12" t="s">
        <v>43</v>
      </c>
      <c r="P183" s="2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225</v>
      </c>
      <c r="B184" s="14" t="s">
        <v>23</v>
      </c>
      <c r="C184" s="4" t="s">
        <v>23</v>
      </c>
      <c r="D184" s="15" t="s">
        <v>33</v>
      </c>
      <c r="E184" s="15">
        <v>1483.38</v>
      </c>
      <c r="F184" s="5" t="str">
        <f>IF(DMart_Sales_data[[#This Row],[sales]]&gt;3000,"High Sales",IF(DMart_Sales_data[[#This Row],[sales]]&gt;1000,"Medium Sales","Low Sales"))</f>
        <v>Medium Sales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31</v>
      </c>
      <c r="L184" s="15" t="s">
        <v>15</v>
      </c>
      <c r="M184" s="15">
        <v>350.59</v>
      </c>
      <c r="N184" s="10" t="s">
        <v>16</v>
      </c>
      <c r="O184" s="17" t="s">
        <v>51</v>
      </c>
      <c r="P184" s="2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5" t="str">
        <f>IF(DMart_Sales_data[[#This Row],[sales]]&gt;3000,"High Sales",IF(DMart_Sales_data[[#This Row],[sales]]&gt;1000,"Medium Sales","Low Sales"))</f>
        <v>Low Sales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10" t="s">
        <v>99</v>
      </c>
      <c r="O185" s="12" t="s">
        <v>64</v>
      </c>
      <c r="P185" s="2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5" t="str">
        <f>IF(DMart_Sales_data[[#This Row],[sales]]&gt;3000,"High Sales",IF(DMart_Sales_data[[#This Row],[sales]]&gt;1000,"Medium Sales","Low Sales"))</f>
        <v>Medium Sales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0" t="s">
        <v>34</v>
      </c>
      <c r="O186" s="17" t="s">
        <v>57</v>
      </c>
      <c r="P186" s="2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228</v>
      </c>
      <c r="B187" s="9" t="s">
        <v>575</v>
      </c>
      <c r="C187" s="4" t="s">
        <v>575</v>
      </c>
      <c r="D187" s="10" t="s">
        <v>24</v>
      </c>
      <c r="E187" s="10">
        <v>3113.57</v>
      </c>
      <c r="F187" s="5" t="str">
        <f>IF(DMart_Sales_data[[#This Row],[sales]]&gt;3000,"High Sales",IF(DMart_Sales_data[[#This Row],[sales]]&gt;1000,"Medium Sales","Low Sales"))</f>
        <v>High Sales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31</v>
      </c>
      <c r="L187" s="10" t="s">
        <v>15</v>
      </c>
      <c r="M187" s="10">
        <v>393.92</v>
      </c>
      <c r="N187" s="10" t="s">
        <v>26</v>
      </c>
      <c r="O187" s="12" t="s">
        <v>47</v>
      </c>
      <c r="P187" s="2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5" t="str">
        <f>IF(DMart_Sales_data[[#This Row],[sales]]&gt;3000,"High Sales",IF(DMart_Sales_data[[#This Row],[sales]]&gt;1000,"Medium Sales","Low Sales"))</f>
        <v>Low Sales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25</v>
      </c>
      <c r="M188" s="15">
        <v>112.67</v>
      </c>
      <c r="N188" s="10" t="s">
        <v>99</v>
      </c>
      <c r="O188" s="17" t="s">
        <v>62</v>
      </c>
      <c r="P188" s="2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230</v>
      </c>
      <c r="B189" s="9" t="s">
        <v>28</v>
      </c>
      <c r="C189" s="4" t="s">
        <v>28</v>
      </c>
      <c r="D189" s="10" t="s">
        <v>33</v>
      </c>
      <c r="E189" s="10">
        <v>112.1</v>
      </c>
      <c r="F189" s="5" t="str">
        <f>IF(DMart_Sales_data[[#This Row],[sales]]&gt;3000,"High Sales",IF(DMart_Sales_data[[#This Row],[sales]]&gt;1000,"Medium Sales","Low Sales"))</f>
        <v>Low Sales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19</v>
      </c>
      <c r="L189" s="10" t="s">
        <v>15</v>
      </c>
      <c r="M189" s="10">
        <v>27.01</v>
      </c>
      <c r="N189" s="10" t="s">
        <v>99</v>
      </c>
      <c r="O189" s="12" t="s">
        <v>64</v>
      </c>
      <c r="P189" s="2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5" t="str">
        <f>IF(DMart_Sales_data[[#This Row],[sales]]&gt;3000,"High Sales",IF(DMart_Sales_data[[#This Row],[sales]]&gt;1000,"Medium Sales","Low Sales"))</f>
        <v>High Sales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0" t="s">
        <v>26</v>
      </c>
      <c r="O190" s="17" t="s">
        <v>26</v>
      </c>
      <c r="P190" s="2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232</v>
      </c>
      <c r="B191" s="9" t="s">
        <v>575</v>
      </c>
      <c r="C191" s="4" t="s">
        <v>575</v>
      </c>
      <c r="D191" s="10" t="s">
        <v>13</v>
      </c>
      <c r="E191" s="10">
        <v>490.22</v>
      </c>
      <c r="F191" s="5" t="str">
        <f>IF(DMart_Sales_data[[#This Row],[sales]]&gt;3000,"High Sales",IF(DMart_Sales_data[[#This Row],[sales]]&gt;1000,"Medium Sales","Low Sales"))</f>
        <v>Low Sales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19</v>
      </c>
      <c r="L191" s="10" t="s">
        <v>15</v>
      </c>
      <c r="M191" s="10">
        <v>101.89</v>
      </c>
      <c r="N191" s="10" t="s">
        <v>34</v>
      </c>
      <c r="O191" s="12" t="s">
        <v>57</v>
      </c>
      <c r="P191" s="2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233</v>
      </c>
      <c r="B192" s="14" t="s">
        <v>23</v>
      </c>
      <c r="C192" s="4" t="s">
        <v>23</v>
      </c>
      <c r="D192" s="15" t="s">
        <v>13</v>
      </c>
      <c r="E192" s="15">
        <v>4499.55</v>
      </c>
      <c r="F192" s="5" t="str">
        <f>IF(DMart_Sales_data[[#This Row],[sales]]&gt;3000,"High Sales",IF(DMart_Sales_data[[#This Row],[sales]]&gt;1000,"Medium Sales","Low Sales"))</f>
        <v>High Sales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25</v>
      </c>
      <c r="M192" s="15">
        <v>639.71</v>
      </c>
      <c r="N192" s="10" t="s">
        <v>99</v>
      </c>
      <c r="O192" s="17" t="s">
        <v>64</v>
      </c>
      <c r="P192" s="2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234</v>
      </c>
      <c r="B193" s="9" t="s">
        <v>28</v>
      </c>
      <c r="C193" s="4" t="s">
        <v>28</v>
      </c>
      <c r="D193" s="10" t="s">
        <v>18</v>
      </c>
      <c r="E193" s="10">
        <v>2056.15</v>
      </c>
      <c r="F193" s="5" t="str">
        <f>IF(DMart_Sales_data[[#This Row],[sales]]&gt;3000,"High Sales",IF(DMart_Sales_data[[#This Row],[sales]]&gt;1000,"Medium Sales","Low Sales"))</f>
        <v>Medium Sales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31</v>
      </c>
      <c r="L193" s="10" t="s">
        <v>25</v>
      </c>
      <c r="M193" s="10">
        <v>549.92999999999995</v>
      </c>
      <c r="N193" s="10" t="s">
        <v>26</v>
      </c>
      <c r="O193" s="12" t="s">
        <v>26</v>
      </c>
      <c r="P193" s="2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5" t="str">
        <f>IF(DMart_Sales_data[[#This Row],[sales]]&gt;3000,"High Sales",IF(DMart_Sales_data[[#This Row],[sales]]&gt;1000,"Medium Sales","Low Sales"))</f>
        <v>High Sales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19</v>
      </c>
      <c r="L194" s="15" t="s">
        <v>15</v>
      </c>
      <c r="M194" s="15">
        <v>467.32</v>
      </c>
      <c r="N194" s="10" t="s">
        <v>40</v>
      </c>
      <c r="O194" s="17" t="s">
        <v>67</v>
      </c>
      <c r="P194" s="2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236</v>
      </c>
      <c r="B195" s="9" t="s">
        <v>575</v>
      </c>
      <c r="C195" s="4" t="s">
        <v>575</v>
      </c>
      <c r="D195" s="10" t="s">
        <v>18</v>
      </c>
      <c r="E195" s="10">
        <v>1009.51</v>
      </c>
      <c r="F195" s="5" t="str">
        <f>IF(DMart_Sales_data[[#This Row],[sales]]&gt;3000,"High Sales",IF(DMart_Sales_data[[#This Row],[sales]]&gt;1000,"Medium Sales","Low Sales"))</f>
        <v>Medium Sales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25</v>
      </c>
      <c r="M195" s="10">
        <v>170.18</v>
      </c>
      <c r="N195" s="10" t="s">
        <v>16</v>
      </c>
      <c r="O195" s="12" t="s">
        <v>16</v>
      </c>
      <c r="P195" s="2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237</v>
      </c>
      <c r="B196" s="14" t="s">
        <v>23</v>
      </c>
      <c r="C196" s="4" t="s">
        <v>23</v>
      </c>
      <c r="D196" s="15" t="s">
        <v>18</v>
      </c>
      <c r="E196" s="15">
        <v>4137.1899999999996</v>
      </c>
      <c r="F196" s="5" t="str">
        <f>IF(DMart_Sales_data[[#This Row],[sales]]&gt;3000,"High Sales",IF(DMart_Sales_data[[#This Row],[sales]]&gt;1000,"Medium Sales","Low Sales"))</f>
        <v>High Sales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0" t="s">
        <v>99</v>
      </c>
      <c r="O196" s="17" t="s">
        <v>64</v>
      </c>
      <c r="P196" s="2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5" t="str">
        <f>IF(DMart_Sales_data[[#This Row],[sales]]&gt;3000,"High Sales",IF(DMart_Sales_data[[#This Row],[sales]]&gt;1000,"Medium Sales","Low Sales"))</f>
        <v>Low Sales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19</v>
      </c>
      <c r="L197" s="10" t="s">
        <v>25</v>
      </c>
      <c r="M197" s="10">
        <v>242.2</v>
      </c>
      <c r="N197" s="10" t="s">
        <v>26</v>
      </c>
      <c r="O197" s="12" t="s">
        <v>38</v>
      </c>
      <c r="P197" s="2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5" t="str">
        <f>IF(DMart_Sales_data[[#This Row],[sales]]&gt;3000,"High Sales",IF(DMart_Sales_data[[#This Row],[sales]]&gt;1000,"Medium Sales","Low Sales"))</f>
        <v>Medium Sales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0" t="s">
        <v>16</v>
      </c>
      <c r="O198" s="17" t="s">
        <v>51</v>
      </c>
      <c r="P198" s="2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240</v>
      </c>
      <c r="B199" s="9" t="s">
        <v>575</v>
      </c>
      <c r="C199" s="4" t="s">
        <v>575</v>
      </c>
      <c r="D199" s="10" t="s">
        <v>24</v>
      </c>
      <c r="E199" s="10">
        <v>1266.33</v>
      </c>
      <c r="F199" s="5" t="str">
        <f>IF(DMart_Sales_data[[#This Row],[sales]]&gt;3000,"High Sales",IF(DMart_Sales_data[[#This Row],[sales]]&gt;1000,"Medium Sales","Low Sales"))</f>
        <v>Medium Sales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31</v>
      </c>
      <c r="L199" s="10" t="s">
        <v>20</v>
      </c>
      <c r="M199" s="10">
        <v>350.09</v>
      </c>
      <c r="N199" s="10" t="s">
        <v>78</v>
      </c>
      <c r="O199" s="12" t="s">
        <v>78</v>
      </c>
      <c r="P199" s="2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5" t="str">
        <f>IF(DMart_Sales_data[[#This Row],[sales]]&gt;3000,"High Sales",IF(DMart_Sales_data[[#This Row],[sales]]&gt;1000,"Medium Sales","Low Sales"))</f>
        <v>High Sales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19</v>
      </c>
      <c r="L200" s="15" t="s">
        <v>25</v>
      </c>
      <c r="M200" s="15">
        <v>451.8</v>
      </c>
      <c r="N200" s="10" t="s">
        <v>34</v>
      </c>
      <c r="O200" s="17" t="s">
        <v>29</v>
      </c>
      <c r="P200" s="2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242</v>
      </c>
      <c r="B201" s="9" t="s">
        <v>28</v>
      </c>
      <c r="C201" s="4" t="s">
        <v>28</v>
      </c>
      <c r="D201" s="10" t="s">
        <v>13</v>
      </c>
      <c r="E201" s="10">
        <v>4305.8500000000004</v>
      </c>
      <c r="F201" s="5" t="str">
        <f>IF(DMart_Sales_data[[#This Row],[sales]]&gt;3000,"High Sales",IF(DMart_Sales_data[[#This Row],[sales]]&gt;1000,"Medium Sales","Low Sales"))</f>
        <v>High Sales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31</v>
      </c>
      <c r="L201" s="10" t="s">
        <v>20</v>
      </c>
      <c r="M201" s="10">
        <v>1195.98</v>
      </c>
      <c r="N201" s="10" t="s">
        <v>40</v>
      </c>
      <c r="O201" s="12" t="s">
        <v>40</v>
      </c>
      <c r="P201" s="2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5" t="str">
        <f>IF(DMart_Sales_data[[#This Row],[sales]]&gt;3000,"High Sales",IF(DMart_Sales_data[[#This Row],[sales]]&gt;1000,"Medium Sales","Low Sales"))</f>
        <v>Medium Sales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19</v>
      </c>
      <c r="L202" s="15" t="s">
        <v>25</v>
      </c>
      <c r="M202" s="15">
        <v>235.46</v>
      </c>
      <c r="N202" s="10" t="s">
        <v>40</v>
      </c>
      <c r="O202" s="17" t="s">
        <v>67</v>
      </c>
      <c r="P202" s="2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244</v>
      </c>
      <c r="B203" s="9" t="s">
        <v>575</v>
      </c>
      <c r="C203" s="4" t="s">
        <v>575</v>
      </c>
      <c r="D203" s="10" t="s">
        <v>24</v>
      </c>
      <c r="E203" s="10">
        <v>1606.15</v>
      </c>
      <c r="F203" s="5" t="str">
        <f>IF(DMart_Sales_data[[#This Row],[sales]]&gt;3000,"High Sales",IF(DMart_Sales_data[[#This Row],[sales]]&gt;1000,"Medium Sales","Low Sales"))</f>
        <v>Medium Sales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19</v>
      </c>
      <c r="L203" s="10" t="s">
        <v>20</v>
      </c>
      <c r="M203" s="10">
        <v>432.87</v>
      </c>
      <c r="N203" s="10" t="s">
        <v>99</v>
      </c>
      <c r="O203" s="12" t="s">
        <v>99</v>
      </c>
      <c r="P203" s="2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245</v>
      </c>
      <c r="B204" s="14" t="s">
        <v>23</v>
      </c>
      <c r="C204" s="4" t="s">
        <v>23</v>
      </c>
      <c r="D204" s="15" t="s">
        <v>33</v>
      </c>
      <c r="E204" s="15">
        <v>3890.47</v>
      </c>
      <c r="F204" s="5" t="str">
        <f>IF(DMart_Sales_data[[#This Row],[sales]]&gt;3000,"High Sales",IF(DMart_Sales_data[[#This Row],[sales]]&gt;1000,"Medium Sales","Low Sales"))</f>
        <v>High Sales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19</v>
      </c>
      <c r="L204" s="15" t="s">
        <v>25</v>
      </c>
      <c r="M204" s="15">
        <v>1028.18</v>
      </c>
      <c r="N204" s="10" t="s">
        <v>78</v>
      </c>
      <c r="O204" s="17" t="s">
        <v>21</v>
      </c>
      <c r="P204" s="2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246</v>
      </c>
      <c r="B205" s="9" t="s">
        <v>28</v>
      </c>
      <c r="C205" s="4" t="s">
        <v>28</v>
      </c>
      <c r="D205" s="10" t="s">
        <v>24</v>
      </c>
      <c r="E205" s="10">
        <v>4404.71</v>
      </c>
      <c r="F205" s="5" t="str">
        <f>IF(DMart_Sales_data[[#This Row],[sales]]&gt;3000,"High Sales",IF(DMart_Sales_data[[#This Row],[sales]]&gt;1000,"Medium Sales","Low Sales"))</f>
        <v>High Sales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19</v>
      </c>
      <c r="L205" s="10" t="s">
        <v>25</v>
      </c>
      <c r="M205" s="10">
        <v>721</v>
      </c>
      <c r="N205" s="10" t="s">
        <v>16</v>
      </c>
      <c r="O205" s="12" t="s">
        <v>51</v>
      </c>
      <c r="P205" s="2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5" t="str">
        <f>IF(DMart_Sales_data[[#This Row],[sales]]&gt;3000,"High Sales",IF(DMart_Sales_data[[#This Row],[sales]]&gt;1000,"Medium Sales","Low Sales"))</f>
        <v>High Sales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31</v>
      </c>
      <c r="L206" s="15" t="s">
        <v>15</v>
      </c>
      <c r="M206" s="15">
        <v>788.19</v>
      </c>
      <c r="N206" s="10" t="s">
        <v>99</v>
      </c>
      <c r="O206" s="17" t="s">
        <v>64</v>
      </c>
      <c r="P206" s="2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248</v>
      </c>
      <c r="B207" s="9" t="s">
        <v>575</v>
      </c>
      <c r="C207" s="4" t="s">
        <v>575</v>
      </c>
      <c r="D207" s="10" t="s">
        <v>24</v>
      </c>
      <c r="E207" s="10">
        <v>4644.28</v>
      </c>
      <c r="F207" s="5" t="str">
        <f>IF(DMart_Sales_data[[#This Row],[sales]]&gt;3000,"High Sales",IF(DMart_Sales_data[[#This Row],[sales]]&gt;1000,"Medium Sales","Low Sales"))</f>
        <v>High Sales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31</v>
      </c>
      <c r="L207" s="10" t="s">
        <v>25</v>
      </c>
      <c r="M207" s="10">
        <v>1095.22</v>
      </c>
      <c r="N207" s="10" t="s">
        <v>99</v>
      </c>
      <c r="O207" s="12" t="s">
        <v>62</v>
      </c>
      <c r="P207" s="2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249</v>
      </c>
      <c r="B208" s="14" t="s">
        <v>23</v>
      </c>
      <c r="C208" s="4" t="s">
        <v>23</v>
      </c>
      <c r="D208" s="15" t="s">
        <v>18</v>
      </c>
      <c r="E208" s="15">
        <v>1976.91</v>
      </c>
      <c r="F208" s="5" t="str">
        <f>IF(DMart_Sales_data[[#This Row],[sales]]&gt;3000,"High Sales",IF(DMart_Sales_data[[#This Row],[sales]]&gt;1000,"Medium Sales","Low Sales"))</f>
        <v>Medium Sales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19</v>
      </c>
      <c r="L208" s="15" t="s">
        <v>25</v>
      </c>
      <c r="M208" s="15">
        <v>121.08</v>
      </c>
      <c r="N208" s="10" t="s">
        <v>40</v>
      </c>
      <c r="O208" s="17" t="s">
        <v>67</v>
      </c>
      <c r="P208" s="2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5" t="str">
        <f>IF(DMart_Sales_data[[#This Row],[sales]]&gt;3000,"High Sales",IF(DMart_Sales_data[[#This Row],[sales]]&gt;1000,"Medium Sales","Low Sales"))</f>
        <v>Low Sales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19</v>
      </c>
      <c r="L209" s="10" t="s">
        <v>20</v>
      </c>
      <c r="M209" s="10">
        <v>47.74</v>
      </c>
      <c r="N209" s="10" t="s">
        <v>26</v>
      </c>
      <c r="O209" s="12" t="s">
        <v>47</v>
      </c>
      <c r="P209" s="2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5" t="str">
        <f>IF(DMart_Sales_data[[#This Row],[sales]]&gt;3000,"High Sales",IF(DMart_Sales_data[[#This Row],[sales]]&gt;1000,"Medium Sales","Low Sales"))</f>
        <v>Low Sales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31</v>
      </c>
      <c r="L210" s="15" t="s">
        <v>20</v>
      </c>
      <c r="M210" s="15">
        <v>70.55</v>
      </c>
      <c r="N210" s="10" t="s">
        <v>26</v>
      </c>
      <c r="O210" s="17" t="s">
        <v>38</v>
      </c>
      <c r="P210" s="2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252</v>
      </c>
      <c r="B211" s="9" t="s">
        <v>575</v>
      </c>
      <c r="C211" s="4" t="s">
        <v>575</v>
      </c>
      <c r="D211" s="10" t="s">
        <v>33</v>
      </c>
      <c r="E211" s="10">
        <v>3382.18</v>
      </c>
      <c r="F211" s="5" t="str">
        <f>IF(DMart_Sales_data[[#This Row],[sales]]&gt;3000,"High Sales",IF(DMart_Sales_data[[#This Row],[sales]]&gt;1000,"Medium Sales","Low Sales"))</f>
        <v>High Sales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19</v>
      </c>
      <c r="L211" s="10" t="s">
        <v>20</v>
      </c>
      <c r="M211" s="10">
        <v>970.91</v>
      </c>
      <c r="N211" s="10" t="s">
        <v>16</v>
      </c>
      <c r="O211" s="12" t="s">
        <v>16</v>
      </c>
      <c r="P211" s="2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5" t="str">
        <f>IF(DMart_Sales_data[[#This Row],[sales]]&gt;3000,"High Sales",IF(DMart_Sales_data[[#This Row],[sales]]&gt;1000,"Medium Sales","Low Sales"))</f>
        <v>Medium Sales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19</v>
      </c>
      <c r="L212" s="15" t="s">
        <v>20</v>
      </c>
      <c r="M212" s="15">
        <v>478.55</v>
      </c>
      <c r="N212" s="10" t="s">
        <v>99</v>
      </c>
      <c r="O212" s="17" t="s">
        <v>64</v>
      </c>
      <c r="P212" s="2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254</v>
      </c>
      <c r="B213" s="9" t="s">
        <v>28</v>
      </c>
      <c r="C213" s="4" t="s">
        <v>28</v>
      </c>
      <c r="D213" s="10" t="s">
        <v>36</v>
      </c>
      <c r="E213" s="10">
        <v>865.94</v>
      </c>
      <c r="F213" s="5" t="str">
        <f>IF(DMart_Sales_data[[#This Row],[sales]]&gt;3000,"High Sales",IF(DMart_Sales_data[[#This Row],[sales]]&gt;1000,"Medium Sales","Low Sales"))</f>
        <v>Low Sales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31</v>
      </c>
      <c r="L213" s="10" t="s">
        <v>15</v>
      </c>
      <c r="M213" s="10">
        <v>133.02000000000001</v>
      </c>
      <c r="N213" s="10" t="s">
        <v>99</v>
      </c>
      <c r="O213" s="12" t="s">
        <v>99</v>
      </c>
      <c r="P213" s="2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5" t="str">
        <f>IF(DMart_Sales_data[[#This Row],[sales]]&gt;3000,"High Sales",IF(DMart_Sales_data[[#This Row],[sales]]&gt;1000,"Medium Sales","Low Sales"))</f>
        <v>Medium Sales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31</v>
      </c>
      <c r="L214" s="15" t="s">
        <v>20</v>
      </c>
      <c r="M214" s="15">
        <v>161.16</v>
      </c>
      <c r="N214" s="10" t="s">
        <v>99</v>
      </c>
      <c r="O214" s="17" t="s">
        <v>62</v>
      </c>
      <c r="P214" s="2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256</v>
      </c>
      <c r="B215" s="9" t="s">
        <v>575</v>
      </c>
      <c r="C215" s="4" t="s">
        <v>575</v>
      </c>
      <c r="D215" s="10" t="s">
        <v>33</v>
      </c>
      <c r="E215" s="10">
        <v>2699.96</v>
      </c>
      <c r="F215" s="5" t="str">
        <f>IF(DMart_Sales_data[[#This Row],[sales]]&gt;3000,"High Sales",IF(DMart_Sales_data[[#This Row],[sales]]&gt;1000,"Medium Sales","Low Sales"))</f>
        <v>Medium Sales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31</v>
      </c>
      <c r="L215" s="10" t="s">
        <v>15</v>
      </c>
      <c r="M215" s="10">
        <v>774.75</v>
      </c>
      <c r="N215" s="10" t="s">
        <v>40</v>
      </c>
      <c r="O215" s="12" t="s">
        <v>43</v>
      </c>
      <c r="P215" s="2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257</v>
      </c>
      <c r="B216" s="14" t="s">
        <v>23</v>
      </c>
      <c r="C216" s="4" t="s">
        <v>23</v>
      </c>
      <c r="D216" s="15" t="s">
        <v>13</v>
      </c>
      <c r="E216" s="15">
        <v>695.08</v>
      </c>
      <c r="F216" s="5" t="str">
        <f>IF(DMart_Sales_data[[#This Row],[sales]]&gt;3000,"High Sales",IF(DMart_Sales_data[[#This Row],[sales]]&gt;1000,"Medium Sales","Low Sales"))</f>
        <v>Low Sales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0" t="s">
        <v>26</v>
      </c>
      <c r="O216" s="17" t="s">
        <v>47</v>
      </c>
      <c r="P216" s="2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258</v>
      </c>
      <c r="B217" s="9" t="s">
        <v>28</v>
      </c>
      <c r="C217" s="4" t="s">
        <v>28</v>
      </c>
      <c r="D217" s="10" t="s">
        <v>18</v>
      </c>
      <c r="E217" s="10">
        <v>116.87</v>
      </c>
      <c r="F217" s="5" t="str">
        <f>IF(DMart_Sales_data[[#This Row],[sales]]&gt;3000,"High Sales",IF(DMart_Sales_data[[#This Row],[sales]]&gt;1000,"Medium Sales","Low Sales"))</f>
        <v>Low Sales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19</v>
      </c>
      <c r="L217" s="10" t="s">
        <v>20</v>
      </c>
      <c r="M217" s="10">
        <v>21.73</v>
      </c>
      <c r="N217" s="10" t="s">
        <v>78</v>
      </c>
      <c r="O217" s="12" t="s">
        <v>21</v>
      </c>
      <c r="P217" s="2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5" t="str">
        <f>IF(DMart_Sales_data[[#This Row],[sales]]&gt;3000,"High Sales",IF(DMart_Sales_data[[#This Row],[sales]]&gt;1000,"Medium Sales","Low Sales"))</f>
        <v>High Sales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31</v>
      </c>
      <c r="L218" s="15" t="s">
        <v>20</v>
      </c>
      <c r="M218" s="15">
        <v>509.07</v>
      </c>
      <c r="N218" s="10" t="s">
        <v>78</v>
      </c>
      <c r="O218" s="17" t="s">
        <v>54</v>
      </c>
      <c r="P218" s="2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260</v>
      </c>
      <c r="B219" s="9" t="s">
        <v>575</v>
      </c>
      <c r="C219" s="4" t="s">
        <v>575</v>
      </c>
      <c r="D219" s="10" t="s">
        <v>13</v>
      </c>
      <c r="E219" s="10">
        <v>1593.82</v>
      </c>
      <c r="F219" s="5" t="str">
        <f>IF(DMart_Sales_data[[#This Row],[sales]]&gt;3000,"High Sales",IF(DMart_Sales_data[[#This Row],[sales]]&gt;1000,"Medium Sales","Low Sales"))</f>
        <v>Medium Sales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19</v>
      </c>
      <c r="L219" s="10" t="s">
        <v>20</v>
      </c>
      <c r="M219" s="10">
        <v>369.28</v>
      </c>
      <c r="N219" s="10" t="s">
        <v>26</v>
      </c>
      <c r="O219" s="12" t="s">
        <v>38</v>
      </c>
      <c r="P219" s="2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261</v>
      </c>
      <c r="B220" s="14" t="s">
        <v>23</v>
      </c>
      <c r="C220" s="4" t="s">
        <v>23</v>
      </c>
      <c r="D220" s="15" t="s">
        <v>13</v>
      </c>
      <c r="E220" s="15">
        <v>1185.3399999999999</v>
      </c>
      <c r="F220" s="5" t="str">
        <f>IF(DMart_Sales_data[[#This Row],[sales]]&gt;3000,"High Sales",IF(DMart_Sales_data[[#This Row],[sales]]&gt;1000,"Medium Sales","Low Sales"))</f>
        <v>Medium Sales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25</v>
      </c>
      <c r="M220" s="15">
        <v>110.39</v>
      </c>
      <c r="N220" s="10" t="s">
        <v>34</v>
      </c>
      <c r="O220" s="17" t="s">
        <v>57</v>
      </c>
      <c r="P220" s="2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5" t="str">
        <f>IF(DMart_Sales_data[[#This Row],[sales]]&gt;3000,"High Sales",IF(DMart_Sales_data[[#This Row],[sales]]&gt;1000,"Medium Sales","Low Sales"))</f>
        <v>High Sales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31</v>
      </c>
      <c r="L221" s="10" t="s">
        <v>20</v>
      </c>
      <c r="M221" s="10">
        <v>700.49</v>
      </c>
      <c r="N221" s="10" t="s">
        <v>40</v>
      </c>
      <c r="O221" s="12" t="s">
        <v>43</v>
      </c>
      <c r="P221" s="2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5" t="str">
        <f>IF(DMart_Sales_data[[#This Row],[sales]]&gt;3000,"High Sales",IF(DMart_Sales_data[[#This Row],[sales]]&gt;1000,"Medium Sales","Low Sales"))</f>
        <v>High Sales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31</v>
      </c>
      <c r="L222" s="15" t="s">
        <v>20</v>
      </c>
      <c r="M222" s="15">
        <v>909.46</v>
      </c>
      <c r="N222" s="10" t="s">
        <v>40</v>
      </c>
      <c r="O222" s="17" t="s">
        <v>67</v>
      </c>
      <c r="P222" s="2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264</v>
      </c>
      <c r="B223" s="9" t="s">
        <v>575</v>
      </c>
      <c r="C223" s="4" t="s">
        <v>575</v>
      </c>
      <c r="D223" s="10" t="s">
        <v>13</v>
      </c>
      <c r="E223" s="10">
        <v>3198.17</v>
      </c>
      <c r="F223" s="5" t="str">
        <f>IF(DMart_Sales_data[[#This Row],[sales]]&gt;3000,"High Sales",IF(DMart_Sales_data[[#This Row],[sales]]&gt;1000,"Medium Sales","Low Sales"))</f>
        <v>High Sales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19</v>
      </c>
      <c r="L223" s="10" t="s">
        <v>15</v>
      </c>
      <c r="M223" s="10">
        <v>930.63</v>
      </c>
      <c r="N223" s="10" t="s">
        <v>34</v>
      </c>
      <c r="O223" s="12" t="s">
        <v>29</v>
      </c>
      <c r="P223" s="2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5" t="str">
        <f>IF(DMart_Sales_data[[#This Row],[sales]]&gt;3000,"High Sales",IF(DMart_Sales_data[[#This Row],[sales]]&gt;1000,"Medium Sales","Low Sales"))</f>
        <v>Medium Sales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19</v>
      </c>
      <c r="L224" s="15" t="s">
        <v>20</v>
      </c>
      <c r="M224" s="15">
        <v>270.37</v>
      </c>
      <c r="N224" s="10" t="s">
        <v>78</v>
      </c>
      <c r="O224" s="17" t="s">
        <v>54</v>
      </c>
      <c r="P224" s="2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266</v>
      </c>
      <c r="B225" s="9" t="s">
        <v>28</v>
      </c>
      <c r="C225" s="4" t="s">
        <v>28</v>
      </c>
      <c r="D225" s="10" t="s">
        <v>36</v>
      </c>
      <c r="E225" s="10">
        <v>4322.0200000000004</v>
      </c>
      <c r="F225" s="5" t="str">
        <f>IF(DMart_Sales_data[[#This Row],[sales]]&gt;3000,"High Sales",IF(DMart_Sales_data[[#This Row],[sales]]&gt;1000,"Medium Sales","Low Sales"))</f>
        <v>High Sales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31</v>
      </c>
      <c r="L225" s="10" t="s">
        <v>25</v>
      </c>
      <c r="M225" s="10">
        <v>740.19</v>
      </c>
      <c r="N225" s="10" t="s">
        <v>78</v>
      </c>
      <c r="O225" s="12" t="s">
        <v>21</v>
      </c>
      <c r="P225" s="2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5" t="str">
        <f>IF(DMart_Sales_data[[#This Row],[sales]]&gt;3000,"High Sales",IF(DMart_Sales_data[[#This Row],[sales]]&gt;1000,"Medium Sales","Low Sales"))</f>
        <v>Medium Sales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31</v>
      </c>
      <c r="L226" s="15" t="s">
        <v>20</v>
      </c>
      <c r="M226" s="15">
        <v>385.44</v>
      </c>
      <c r="N226" s="10" t="s">
        <v>40</v>
      </c>
      <c r="O226" s="17" t="s">
        <v>40</v>
      </c>
      <c r="P226" s="2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268</v>
      </c>
      <c r="B227" s="9" t="s">
        <v>575</v>
      </c>
      <c r="C227" s="4" t="s">
        <v>575</v>
      </c>
      <c r="D227" s="10" t="s">
        <v>33</v>
      </c>
      <c r="E227" s="10">
        <v>1967.83</v>
      </c>
      <c r="F227" s="5" t="str">
        <f>IF(DMart_Sales_data[[#This Row],[sales]]&gt;3000,"High Sales",IF(DMart_Sales_data[[#This Row],[sales]]&gt;1000,"Medium Sales","Low Sales"))</f>
        <v>Medium Sales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19</v>
      </c>
      <c r="L227" s="10" t="s">
        <v>20</v>
      </c>
      <c r="M227" s="10">
        <v>150.44999999999999</v>
      </c>
      <c r="N227" s="10" t="s">
        <v>34</v>
      </c>
      <c r="O227" s="12" t="s">
        <v>29</v>
      </c>
      <c r="P227" s="2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269</v>
      </c>
      <c r="B228" s="14" t="s">
        <v>23</v>
      </c>
      <c r="C228" s="4" t="s">
        <v>23</v>
      </c>
      <c r="D228" s="15" t="s">
        <v>18</v>
      </c>
      <c r="E228" s="15">
        <v>3063.16</v>
      </c>
      <c r="F228" s="5" t="str">
        <f>IF(DMart_Sales_data[[#This Row],[sales]]&gt;3000,"High Sales",IF(DMart_Sales_data[[#This Row],[sales]]&gt;1000,"Medium Sales","Low Sales"))</f>
        <v>High Sales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19</v>
      </c>
      <c r="L228" s="15" t="s">
        <v>15</v>
      </c>
      <c r="M228" s="15">
        <v>706.04</v>
      </c>
      <c r="N228" s="10" t="s">
        <v>40</v>
      </c>
      <c r="O228" s="17" t="s">
        <v>40</v>
      </c>
      <c r="P228" s="2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270</v>
      </c>
      <c r="B229" s="9" t="s">
        <v>28</v>
      </c>
      <c r="C229" s="4" t="s">
        <v>28</v>
      </c>
      <c r="D229" s="10" t="s">
        <v>33</v>
      </c>
      <c r="E229" s="10">
        <v>3533</v>
      </c>
      <c r="F229" s="5" t="str">
        <f>IF(DMart_Sales_data[[#This Row],[sales]]&gt;3000,"High Sales",IF(DMart_Sales_data[[#This Row],[sales]]&gt;1000,"Medium Sales","Low Sales"))</f>
        <v>High Sales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31</v>
      </c>
      <c r="L229" s="10" t="s">
        <v>25</v>
      </c>
      <c r="M229" s="10">
        <v>394.98</v>
      </c>
      <c r="N229" s="10" t="s">
        <v>16</v>
      </c>
      <c r="O229" s="12" t="s">
        <v>94</v>
      </c>
      <c r="P229" s="2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5" t="str">
        <f>IF(DMart_Sales_data[[#This Row],[sales]]&gt;3000,"High Sales",IF(DMart_Sales_data[[#This Row],[sales]]&gt;1000,"Medium Sales","Low Sales"))</f>
        <v>High Sales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25</v>
      </c>
      <c r="M230" s="15">
        <v>385.71</v>
      </c>
      <c r="N230" s="10" t="s">
        <v>99</v>
      </c>
      <c r="O230" s="17" t="s">
        <v>62</v>
      </c>
      <c r="P230" s="2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272</v>
      </c>
      <c r="B231" s="9" t="s">
        <v>575</v>
      </c>
      <c r="C231" s="4" t="s">
        <v>575</v>
      </c>
      <c r="D231" s="10" t="s">
        <v>13</v>
      </c>
      <c r="E231" s="10">
        <v>4609.2</v>
      </c>
      <c r="F231" s="5" t="str">
        <f>IF(DMart_Sales_data[[#This Row],[sales]]&gt;3000,"High Sales",IF(DMart_Sales_data[[#This Row],[sales]]&gt;1000,"Medium Sales","Low Sales"))</f>
        <v>High Sales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19</v>
      </c>
      <c r="L231" s="10" t="s">
        <v>20</v>
      </c>
      <c r="M231" s="10">
        <v>244.12</v>
      </c>
      <c r="N231" s="10" t="s">
        <v>26</v>
      </c>
      <c r="O231" s="12" t="s">
        <v>47</v>
      </c>
      <c r="P231" s="2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273</v>
      </c>
      <c r="B232" s="14" t="s">
        <v>23</v>
      </c>
      <c r="C232" s="4" t="s">
        <v>23</v>
      </c>
      <c r="D232" s="15" t="s">
        <v>13</v>
      </c>
      <c r="E232" s="15">
        <v>3177.29</v>
      </c>
      <c r="F232" s="5" t="str">
        <f>IF(DMart_Sales_data[[#This Row],[sales]]&gt;3000,"High Sales",IF(DMart_Sales_data[[#This Row],[sales]]&gt;1000,"Medium Sales","Low Sales"))</f>
        <v>High Sales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19</v>
      </c>
      <c r="L232" s="15" t="s">
        <v>25</v>
      </c>
      <c r="M232" s="15">
        <v>682.33</v>
      </c>
      <c r="N232" s="10" t="s">
        <v>16</v>
      </c>
      <c r="O232" s="17" t="s">
        <v>94</v>
      </c>
      <c r="P232" s="2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5" t="str">
        <f>IF(DMart_Sales_data[[#This Row],[sales]]&gt;3000,"High Sales",IF(DMart_Sales_data[[#This Row],[sales]]&gt;1000,"Medium Sales","Low Sales"))</f>
        <v>High Sales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19</v>
      </c>
      <c r="L233" s="10" t="s">
        <v>20</v>
      </c>
      <c r="M233" s="10">
        <v>1055.96</v>
      </c>
      <c r="N233" s="10" t="s">
        <v>99</v>
      </c>
      <c r="O233" s="12" t="s">
        <v>99</v>
      </c>
      <c r="P233" s="2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5" t="str">
        <f>IF(DMart_Sales_data[[#This Row],[sales]]&gt;3000,"High Sales",IF(DMart_Sales_data[[#This Row],[sales]]&gt;1000,"Medium Sales","Low Sales"))</f>
        <v>Medium Sales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31</v>
      </c>
      <c r="L234" s="15" t="s">
        <v>15</v>
      </c>
      <c r="M234" s="15">
        <v>219.01</v>
      </c>
      <c r="N234" s="10" t="s">
        <v>26</v>
      </c>
      <c r="O234" s="17" t="s">
        <v>38</v>
      </c>
      <c r="P234" s="2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276</v>
      </c>
      <c r="B235" s="9" t="s">
        <v>575</v>
      </c>
      <c r="C235" s="4" t="s">
        <v>575</v>
      </c>
      <c r="D235" s="10" t="s">
        <v>18</v>
      </c>
      <c r="E235" s="10">
        <v>1715.43</v>
      </c>
      <c r="F235" s="5" t="str">
        <f>IF(DMart_Sales_data[[#This Row],[sales]]&gt;3000,"High Sales",IF(DMart_Sales_data[[#This Row],[sales]]&gt;1000,"Medium Sales","Low Sales"))</f>
        <v>Medium Sales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31</v>
      </c>
      <c r="L235" s="10" t="s">
        <v>25</v>
      </c>
      <c r="M235" s="10">
        <v>144.54</v>
      </c>
      <c r="N235" s="10" t="s">
        <v>16</v>
      </c>
      <c r="O235" s="12" t="s">
        <v>94</v>
      </c>
      <c r="P235" s="2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5" t="str">
        <f>IF(DMart_Sales_data[[#This Row],[sales]]&gt;3000,"High Sales",IF(DMart_Sales_data[[#This Row],[sales]]&gt;1000,"Medium Sales","Low Sales"))</f>
        <v>Medium Sales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31</v>
      </c>
      <c r="L236" s="15" t="s">
        <v>20</v>
      </c>
      <c r="M236" s="15">
        <v>692.61</v>
      </c>
      <c r="N236" s="10" t="s">
        <v>34</v>
      </c>
      <c r="O236" s="17" t="s">
        <v>57</v>
      </c>
      <c r="P236" s="2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278</v>
      </c>
      <c r="B237" s="9" t="s">
        <v>28</v>
      </c>
      <c r="C237" s="4" t="s">
        <v>28</v>
      </c>
      <c r="D237" s="10" t="s">
        <v>33</v>
      </c>
      <c r="E237" s="10">
        <v>523.04999999999995</v>
      </c>
      <c r="F237" s="5" t="str">
        <f>IF(DMart_Sales_data[[#This Row],[sales]]&gt;3000,"High Sales",IF(DMart_Sales_data[[#This Row],[sales]]&gt;1000,"Medium Sales","Low Sales"))</f>
        <v>Low Sales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19</v>
      </c>
      <c r="L237" s="10" t="s">
        <v>15</v>
      </c>
      <c r="M237" s="10">
        <v>122.23</v>
      </c>
      <c r="N237" s="10" t="s">
        <v>78</v>
      </c>
      <c r="O237" s="12" t="s">
        <v>78</v>
      </c>
      <c r="P237" s="2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5" t="str">
        <f>IF(DMart_Sales_data[[#This Row],[sales]]&gt;3000,"High Sales",IF(DMart_Sales_data[[#This Row],[sales]]&gt;1000,"Medium Sales","Low Sales"))</f>
        <v>Medium Sales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19</v>
      </c>
      <c r="L238" s="15" t="s">
        <v>15</v>
      </c>
      <c r="M238" s="15">
        <v>99.39</v>
      </c>
      <c r="N238" s="10" t="s">
        <v>16</v>
      </c>
      <c r="O238" s="17" t="s">
        <v>16</v>
      </c>
      <c r="P238" s="2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280</v>
      </c>
      <c r="B239" s="9" t="s">
        <v>575</v>
      </c>
      <c r="C239" s="4" t="s">
        <v>575</v>
      </c>
      <c r="D239" s="10" t="s">
        <v>13</v>
      </c>
      <c r="E239" s="10">
        <v>3854.54</v>
      </c>
      <c r="F239" s="5" t="str">
        <f>IF(DMart_Sales_data[[#This Row],[sales]]&gt;3000,"High Sales",IF(DMart_Sales_data[[#This Row],[sales]]&gt;1000,"Medium Sales","Low Sales"))</f>
        <v>High Sales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20</v>
      </c>
      <c r="M239" s="10">
        <v>600.08000000000004</v>
      </c>
      <c r="N239" s="10" t="s">
        <v>34</v>
      </c>
      <c r="O239" s="12" t="s">
        <v>57</v>
      </c>
      <c r="P239" s="2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281</v>
      </c>
      <c r="B240" s="14" t="s">
        <v>23</v>
      </c>
      <c r="C240" s="4" t="s">
        <v>23</v>
      </c>
      <c r="D240" s="15" t="s">
        <v>18</v>
      </c>
      <c r="E240" s="15">
        <v>3341.23</v>
      </c>
      <c r="F240" s="5" t="str">
        <f>IF(DMart_Sales_data[[#This Row],[sales]]&gt;3000,"High Sales",IF(DMart_Sales_data[[#This Row],[sales]]&gt;1000,"Medium Sales","Low Sales"))</f>
        <v>High Sales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31</v>
      </c>
      <c r="L240" s="15" t="s">
        <v>15</v>
      </c>
      <c r="M240" s="15">
        <v>427.47</v>
      </c>
      <c r="N240" s="10" t="s">
        <v>99</v>
      </c>
      <c r="O240" s="17" t="s">
        <v>64</v>
      </c>
      <c r="P240" s="2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282</v>
      </c>
      <c r="B241" s="9" t="s">
        <v>28</v>
      </c>
      <c r="C241" s="4" t="s">
        <v>28</v>
      </c>
      <c r="D241" s="10" t="s">
        <v>18</v>
      </c>
      <c r="E241" s="10">
        <v>915.94</v>
      </c>
      <c r="F241" s="5" t="str">
        <f>IF(DMart_Sales_data[[#This Row],[sales]]&gt;3000,"High Sales",IF(DMart_Sales_data[[#This Row],[sales]]&gt;1000,"Medium Sales","Low Sales"))</f>
        <v>Low Sales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31</v>
      </c>
      <c r="L241" s="10" t="s">
        <v>15</v>
      </c>
      <c r="M241" s="10">
        <v>83.32</v>
      </c>
      <c r="N241" s="10" t="s">
        <v>99</v>
      </c>
      <c r="O241" s="12" t="s">
        <v>64</v>
      </c>
      <c r="P241" s="2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5" t="str">
        <f>IF(DMart_Sales_data[[#This Row],[sales]]&gt;3000,"High Sales",IF(DMart_Sales_data[[#This Row],[sales]]&gt;1000,"Medium Sales","Low Sales"))</f>
        <v>Medium Sales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19</v>
      </c>
      <c r="L242" s="15" t="s">
        <v>20</v>
      </c>
      <c r="M242" s="15">
        <v>358.48</v>
      </c>
      <c r="N242" s="10" t="s">
        <v>78</v>
      </c>
      <c r="O242" s="17" t="s">
        <v>54</v>
      </c>
      <c r="P242" s="2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284</v>
      </c>
      <c r="B243" s="9" t="s">
        <v>575</v>
      </c>
      <c r="C243" s="4" t="s">
        <v>575</v>
      </c>
      <c r="D243" s="10" t="s">
        <v>24</v>
      </c>
      <c r="E243" s="10">
        <v>795.76</v>
      </c>
      <c r="F243" s="5" t="str">
        <f>IF(DMart_Sales_data[[#This Row],[sales]]&gt;3000,"High Sales",IF(DMart_Sales_data[[#This Row],[sales]]&gt;1000,"Medium Sales","Low Sales"))</f>
        <v>Low Sales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19</v>
      </c>
      <c r="L243" s="10" t="s">
        <v>25</v>
      </c>
      <c r="M243" s="10">
        <v>209.28</v>
      </c>
      <c r="N243" s="10" t="s">
        <v>26</v>
      </c>
      <c r="O243" s="12" t="s">
        <v>38</v>
      </c>
      <c r="P243" s="2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285</v>
      </c>
      <c r="B244" s="14" t="s">
        <v>23</v>
      </c>
      <c r="C244" s="4" t="s">
        <v>23</v>
      </c>
      <c r="D244" s="15" t="s">
        <v>33</v>
      </c>
      <c r="E244" s="15">
        <v>4293.51</v>
      </c>
      <c r="F244" s="5" t="str">
        <f>IF(DMart_Sales_data[[#This Row],[sales]]&gt;3000,"High Sales",IF(DMart_Sales_data[[#This Row],[sales]]&gt;1000,"Medium Sales","Low Sales"))</f>
        <v>High Sales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25</v>
      </c>
      <c r="M244" s="15">
        <v>1090.8399999999999</v>
      </c>
      <c r="N244" s="10" t="s">
        <v>26</v>
      </c>
      <c r="O244" s="17" t="s">
        <v>47</v>
      </c>
      <c r="P244" s="2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5" t="str">
        <f>IF(DMart_Sales_data[[#This Row],[sales]]&gt;3000,"High Sales",IF(DMart_Sales_data[[#This Row],[sales]]&gt;1000,"Medium Sales","Low Sales"))</f>
        <v>Low Sales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19</v>
      </c>
      <c r="L245" s="10" t="s">
        <v>15</v>
      </c>
      <c r="M245" s="10">
        <v>124.78</v>
      </c>
      <c r="N245" s="10" t="s">
        <v>78</v>
      </c>
      <c r="O245" s="12" t="s">
        <v>21</v>
      </c>
      <c r="P245" s="2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5" t="str">
        <f>IF(DMart_Sales_data[[#This Row],[sales]]&gt;3000,"High Sales",IF(DMart_Sales_data[[#This Row],[sales]]&gt;1000,"Medium Sales","Low Sales"))</f>
        <v>High Sales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19</v>
      </c>
      <c r="L246" s="15" t="s">
        <v>20</v>
      </c>
      <c r="M246" s="15">
        <v>627.83000000000004</v>
      </c>
      <c r="N246" s="10" t="s">
        <v>34</v>
      </c>
      <c r="O246" s="17" t="s">
        <v>29</v>
      </c>
      <c r="P246" s="2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288</v>
      </c>
      <c r="B247" s="9" t="s">
        <v>575</v>
      </c>
      <c r="C247" s="4" t="s">
        <v>575</v>
      </c>
      <c r="D247" s="10" t="s">
        <v>18</v>
      </c>
      <c r="E247" s="10">
        <v>3074.3</v>
      </c>
      <c r="F247" s="5" t="str">
        <f>IF(DMart_Sales_data[[#This Row],[sales]]&gt;3000,"High Sales",IF(DMart_Sales_data[[#This Row],[sales]]&gt;1000,"Medium Sales","Low Sales"))</f>
        <v>High Sales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19</v>
      </c>
      <c r="L247" s="10" t="s">
        <v>25</v>
      </c>
      <c r="M247" s="10">
        <v>656.86</v>
      </c>
      <c r="N247" s="10" t="s">
        <v>99</v>
      </c>
      <c r="O247" s="12" t="s">
        <v>99</v>
      </c>
      <c r="P247" s="2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5" t="str">
        <f>IF(DMart_Sales_data[[#This Row],[sales]]&gt;3000,"High Sales",IF(DMart_Sales_data[[#This Row],[sales]]&gt;1000,"Medium Sales","Low Sales"))</f>
        <v>Medium Sales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25</v>
      </c>
      <c r="M248" s="15">
        <v>710.07</v>
      </c>
      <c r="N248" s="10" t="s">
        <v>26</v>
      </c>
      <c r="O248" s="17" t="s">
        <v>47</v>
      </c>
      <c r="P248" s="2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290</v>
      </c>
      <c r="B249" s="9" t="s">
        <v>28</v>
      </c>
      <c r="C249" s="4" t="s">
        <v>28</v>
      </c>
      <c r="D249" s="10" t="s">
        <v>18</v>
      </c>
      <c r="E249" s="10">
        <v>1463.35</v>
      </c>
      <c r="F249" s="5" t="str">
        <f>IF(DMart_Sales_data[[#This Row],[sales]]&gt;3000,"High Sales",IF(DMart_Sales_data[[#This Row],[sales]]&gt;1000,"Medium Sales","Low Sales"))</f>
        <v>Medium Sales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10" t="s">
        <v>40</v>
      </c>
      <c r="O249" s="12" t="s">
        <v>43</v>
      </c>
      <c r="P249" s="2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5" t="str">
        <f>IF(DMart_Sales_data[[#This Row],[sales]]&gt;3000,"High Sales",IF(DMart_Sales_data[[#This Row],[sales]]&gt;1000,"Medium Sales","Low Sales"))</f>
        <v>Medium Sales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0" t="s">
        <v>78</v>
      </c>
      <c r="O250" s="17" t="s">
        <v>54</v>
      </c>
      <c r="P250" s="2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292</v>
      </c>
      <c r="B251" s="9" t="s">
        <v>575</v>
      </c>
      <c r="C251" s="4" t="s">
        <v>575</v>
      </c>
      <c r="D251" s="10" t="s">
        <v>33</v>
      </c>
      <c r="E251" s="10">
        <v>4051.32</v>
      </c>
      <c r="F251" s="5" t="str">
        <f>IF(DMart_Sales_data[[#This Row],[sales]]&gt;3000,"High Sales",IF(DMart_Sales_data[[#This Row],[sales]]&gt;1000,"Medium Sales","Low Sales"))</f>
        <v>High Sales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25</v>
      </c>
      <c r="M251" s="10">
        <v>675.38</v>
      </c>
      <c r="N251" s="10" t="s">
        <v>26</v>
      </c>
      <c r="O251" s="12" t="s">
        <v>47</v>
      </c>
      <c r="P251" s="2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293</v>
      </c>
      <c r="B252" s="14" t="s">
        <v>23</v>
      </c>
      <c r="C252" s="4" t="s">
        <v>23</v>
      </c>
      <c r="D252" s="15" t="s">
        <v>18</v>
      </c>
      <c r="E252" s="15">
        <v>3831.6</v>
      </c>
      <c r="F252" s="5" t="str">
        <f>IF(DMart_Sales_data[[#This Row],[sales]]&gt;3000,"High Sales",IF(DMart_Sales_data[[#This Row],[sales]]&gt;1000,"Medium Sales","Low Sales"))</f>
        <v>High Sales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20</v>
      </c>
      <c r="M252" s="15">
        <v>906.63</v>
      </c>
      <c r="N252" s="10" t="s">
        <v>16</v>
      </c>
      <c r="O252" s="17" t="s">
        <v>16</v>
      </c>
      <c r="P252" s="2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294</v>
      </c>
      <c r="B253" s="9" t="s">
        <v>28</v>
      </c>
      <c r="C253" s="4" t="s">
        <v>28</v>
      </c>
      <c r="D253" s="10" t="s">
        <v>13</v>
      </c>
      <c r="E253" s="10">
        <v>3720.16</v>
      </c>
      <c r="F253" s="5" t="str">
        <f>IF(DMart_Sales_data[[#This Row],[sales]]&gt;3000,"High Sales",IF(DMart_Sales_data[[#This Row],[sales]]&gt;1000,"Medium Sales","Low Sales"))</f>
        <v>High Sales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31</v>
      </c>
      <c r="L253" s="10" t="s">
        <v>20</v>
      </c>
      <c r="M253" s="10">
        <v>974.82</v>
      </c>
      <c r="N253" s="10" t="s">
        <v>99</v>
      </c>
      <c r="O253" s="12" t="s">
        <v>99</v>
      </c>
      <c r="P253" s="2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5" t="str">
        <f>IF(DMart_Sales_data[[#This Row],[sales]]&gt;3000,"High Sales",IF(DMart_Sales_data[[#This Row],[sales]]&gt;1000,"Medium Sales","Low Sales"))</f>
        <v>High Sales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19</v>
      </c>
      <c r="L254" s="15" t="s">
        <v>15</v>
      </c>
      <c r="M254" s="15">
        <v>268.47000000000003</v>
      </c>
      <c r="N254" s="10" t="s">
        <v>34</v>
      </c>
      <c r="O254" s="17" t="s">
        <v>29</v>
      </c>
      <c r="P254" s="2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296</v>
      </c>
      <c r="B255" s="9" t="s">
        <v>575</v>
      </c>
      <c r="C255" s="4" t="s">
        <v>575</v>
      </c>
      <c r="D255" s="10" t="s">
        <v>13</v>
      </c>
      <c r="E255" s="10">
        <v>805.04</v>
      </c>
      <c r="F255" s="5" t="str">
        <f>IF(DMart_Sales_data[[#This Row],[sales]]&gt;3000,"High Sales",IF(DMart_Sales_data[[#This Row],[sales]]&gt;1000,"Medium Sales","Low Sales"))</f>
        <v>Low Sales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25</v>
      </c>
      <c r="M255" s="10">
        <v>179.9</v>
      </c>
      <c r="N255" s="10" t="s">
        <v>78</v>
      </c>
      <c r="O255" s="12" t="s">
        <v>54</v>
      </c>
      <c r="P255" s="2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297</v>
      </c>
      <c r="B256" s="14" t="s">
        <v>23</v>
      </c>
      <c r="C256" s="4" t="s">
        <v>23</v>
      </c>
      <c r="D256" s="15" t="s">
        <v>33</v>
      </c>
      <c r="E256" s="15">
        <v>585.57000000000005</v>
      </c>
      <c r="F256" s="5" t="str">
        <f>IF(DMart_Sales_data[[#This Row],[sales]]&gt;3000,"High Sales",IF(DMart_Sales_data[[#This Row],[sales]]&gt;1000,"Medium Sales","Low Sales"))</f>
        <v>Low Sales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25</v>
      </c>
      <c r="M256" s="15">
        <v>51.66</v>
      </c>
      <c r="N256" s="10" t="s">
        <v>99</v>
      </c>
      <c r="O256" s="17" t="s">
        <v>64</v>
      </c>
      <c r="P256" s="2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5" t="str">
        <f>IF(DMart_Sales_data[[#This Row],[sales]]&gt;3000,"High Sales",IF(DMart_Sales_data[[#This Row],[sales]]&gt;1000,"Medium Sales","Low Sales"))</f>
        <v>High Sales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10" t="s">
        <v>34</v>
      </c>
      <c r="O257" s="12" t="s">
        <v>57</v>
      </c>
      <c r="P257" s="2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5" t="str">
        <f>IF(DMart_Sales_data[[#This Row],[sales]]&gt;3000,"High Sales",IF(DMart_Sales_data[[#This Row],[sales]]&gt;1000,"Medium Sales","Low Sales"))</f>
        <v>High Sales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0" t="s">
        <v>40</v>
      </c>
      <c r="O258" s="17" t="s">
        <v>40</v>
      </c>
      <c r="P258" s="2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300</v>
      </c>
      <c r="B259" s="9" t="s">
        <v>575</v>
      </c>
      <c r="C259" s="4" t="s">
        <v>575</v>
      </c>
      <c r="D259" s="10" t="s">
        <v>18</v>
      </c>
      <c r="E259" s="10">
        <v>3438.46</v>
      </c>
      <c r="F259" s="5" t="str">
        <f>IF(DMart_Sales_data[[#This Row],[sales]]&gt;3000,"High Sales",IF(DMart_Sales_data[[#This Row],[sales]]&gt;1000,"Medium Sales","Low Sales"))</f>
        <v>High Sales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19</v>
      </c>
      <c r="L259" s="10" t="s">
        <v>25</v>
      </c>
      <c r="M259" s="10">
        <v>848.11</v>
      </c>
      <c r="N259" s="10" t="s">
        <v>26</v>
      </c>
      <c r="O259" s="12" t="s">
        <v>38</v>
      </c>
      <c r="P259" s="2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5" t="str">
        <f>IF(DMart_Sales_data[[#This Row],[sales]]&gt;3000,"High Sales",IF(DMart_Sales_data[[#This Row],[sales]]&gt;1000,"Medium Sales","Low Sales"))</f>
        <v>High Sales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19</v>
      </c>
      <c r="L260" s="15" t="s">
        <v>20</v>
      </c>
      <c r="M260" s="15">
        <v>726.26</v>
      </c>
      <c r="N260" s="10" t="s">
        <v>78</v>
      </c>
      <c r="O260" s="17" t="s">
        <v>21</v>
      </c>
      <c r="P260" s="2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302</v>
      </c>
      <c r="B261" s="9" t="s">
        <v>28</v>
      </c>
      <c r="C261" s="4" t="s">
        <v>28</v>
      </c>
      <c r="D261" s="10" t="s">
        <v>24</v>
      </c>
      <c r="E261" s="10">
        <v>1897.67</v>
      </c>
      <c r="F261" s="5" t="str">
        <f>IF(DMart_Sales_data[[#This Row],[sales]]&gt;3000,"High Sales",IF(DMart_Sales_data[[#This Row],[sales]]&gt;1000,"Medium Sales","Low Sales"))</f>
        <v>Medium Sales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31</v>
      </c>
      <c r="L261" s="10" t="s">
        <v>15</v>
      </c>
      <c r="M261" s="10">
        <v>106.36</v>
      </c>
      <c r="N261" s="10" t="s">
        <v>40</v>
      </c>
      <c r="O261" s="12" t="s">
        <v>40</v>
      </c>
      <c r="P261" s="2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5" t="str">
        <f>IF(DMart_Sales_data[[#This Row],[sales]]&gt;3000,"High Sales",IF(DMart_Sales_data[[#This Row],[sales]]&gt;1000,"Medium Sales","Low Sales"))</f>
        <v>Medium Sales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19</v>
      </c>
      <c r="L262" s="15" t="s">
        <v>20</v>
      </c>
      <c r="M262" s="15">
        <v>136.83000000000001</v>
      </c>
      <c r="N262" s="10" t="s">
        <v>34</v>
      </c>
      <c r="O262" s="17" t="s">
        <v>29</v>
      </c>
      <c r="P262" s="2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304</v>
      </c>
      <c r="B263" s="9" t="s">
        <v>575</v>
      </c>
      <c r="C263" s="4" t="s">
        <v>575</v>
      </c>
      <c r="D263" s="10" t="s">
        <v>24</v>
      </c>
      <c r="E263" s="10">
        <v>3371.52</v>
      </c>
      <c r="F263" s="5" t="str">
        <f>IF(DMart_Sales_data[[#This Row],[sales]]&gt;3000,"High Sales",IF(DMart_Sales_data[[#This Row],[sales]]&gt;1000,"Medium Sales","Low Sales"))</f>
        <v>High Sales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20</v>
      </c>
      <c r="M263" s="10">
        <v>531.95000000000005</v>
      </c>
      <c r="N263" s="10" t="s">
        <v>78</v>
      </c>
      <c r="O263" s="12" t="s">
        <v>78</v>
      </c>
      <c r="P263" s="2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305</v>
      </c>
      <c r="B264" s="14" t="s">
        <v>23</v>
      </c>
      <c r="C264" s="4" t="s">
        <v>23</v>
      </c>
      <c r="D264" s="15" t="s">
        <v>18</v>
      </c>
      <c r="E264" s="15">
        <v>4573.87</v>
      </c>
      <c r="F264" s="5" t="str">
        <f>IF(DMart_Sales_data[[#This Row],[sales]]&gt;3000,"High Sales",IF(DMart_Sales_data[[#This Row],[sales]]&gt;1000,"Medium Sales","Low Sales"))</f>
        <v>High Sales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25</v>
      </c>
      <c r="M264" s="15">
        <v>1235</v>
      </c>
      <c r="N264" s="10" t="s">
        <v>99</v>
      </c>
      <c r="O264" s="17" t="s">
        <v>64</v>
      </c>
      <c r="P264" s="2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306</v>
      </c>
      <c r="B265" s="9" t="s">
        <v>28</v>
      </c>
      <c r="C265" s="4" t="s">
        <v>28</v>
      </c>
      <c r="D265" s="10" t="s">
        <v>13</v>
      </c>
      <c r="E265" s="10">
        <v>2241.2800000000002</v>
      </c>
      <c r="F265" s="5" t="str">
        <f>IF(DMart_Sales_data[[#This Row],[sales]]&gt;3000,"High Sales",IF(DMart_Sales_data[[#This Row],[sales]]&gt;1000,"Medium Sales","Low Sales"))</f>
        <v>Medium Sales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20</v>
      </c>
      <c r="M265" s="10">
        <v>405.21</v>
      </c>
      <c r="N265" s="10" t="s">
        <v>26</v>
      </c>
      <c r="O265" s="12" t="s">
        <v>38</v>
      </c>
      <c r="P265" s="2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5" t="str">
        <f>IF(DMart_Sales_data[[#This Row],[sales]]&gt;3000,"High Sales",IF(DMart_Sales_data[[#This Row],[sales]]&gt;1000,"Medium Sales","Low Sales"))</f>
        <v>Medium Sales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20</v>
      </c>
      <c r="M266" s="15">
        <v>276.95999999999998</v>
      </c>
      <c r="N266" s="10" t="s">
        <v>99</v>
      </c>
      <c r="O266" s="17" t="s">
        <v>99</v>
      </c>
      <c r="P266" s="2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308</v>
      </c>
      <c r="B267" s="9" t="s">
        <v>575</v>
      </c>
      <c r="C267" s="4" t="s">
        <v>575</v>
      </c>
      <c r="D267" s="10" t="s">
        <v>33</v>
      </c>
      <c r="E267" s="10">
        <v>1426.63</v>
      </c>
      <c r="F267" s="5" t="str">
        <f>IF(DMart_Sales_data[[#This Row],[sales]]&gt;3000,"High Sales",IF(DMart_Sales_data[[#This Row],[sales]]&gt;1000,"Medium Sales","Low Sales"))</f>
        <v>Medium Sales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19</v>
      </c>
      <c r="L267" s="10" t="s">
        <v>25</v>
      </c>
      <c r="M267" s="10">
        <v>72.98</v>
      </c>
      <c r="N267" s="10" t="s">
        <v>40</v>
      </c>
      <c r="O267" s="12" t="s">
        <v>40</v>
      </c>
      <c r="P267" s="2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309</v>
      </c>
      <c r="B268" s="14" t="s">
        <v>23</v>
      </c>
      <c r="C268" s="4" t="s">
        <v>23</v>
      </c>
      <c r="D268" s="15" t="s">
        <v>24</v>
      </c>
      <c r="E268" s="15">
        <v>216.16</v>
      </c>
      <c r="F268" s="5" t="str">
        <f>IF(DMart_Sales_data[[#This Row],[sales]]&gt;3000,"High Sales",IF(DMart_Sales_data[[#This Row],[sales]]&gt;1000,"Medium Sales","Low Sales"))</f>
        <v>Low Sales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19</v>
      </c>
      <c r="L268" s="15" t="s">
        <v>15</v>
      </c>
      <c r="M268" s="15">
        <v>55.65</v>
      </c>
      <c r="N268" s="10" t="s">
        <v>40</v>
      </c>
      <c r="O268" s="17" t="s">
        <v>40</v>
      </c>
      <c r="P268" s="2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5" t="str">
        <f>IF(DMart_Sales_data[[#This Row],[sales]]&gt;3000,"High Sales",IF(DMart_Sales_data[[#This Row],[sales]]&gt;1000,"Medium Sales","Low Sales"))</f>
        <v>Medium Sales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31</v>
      </c>
      <c r="L269" s="10" t="s">
        <v>20</v>
      </c>
      <c r="M269" s="10">
        <v>520.04</v>
      </c>
      <c r="N269" s="10" t="s">
        <v>40</v>
      </c>
      <c r="O269" s="12" t="s">
        <v>40</v>
      </c>
      <c r="P269" s="2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5" t="str">
        <f>IF(DMart_Sales_data[[#This Row],[sales]]&gt;3000,"High Sales",IF(DMart_Sales_data[[#This Row],[sales]]&gt;1000,"Medium Sales","Low Sales"))</f>
        <v>High Sales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19</v>
      </c>
      <c r="L270" s="15" t="s">
        <v>15</v>
      </c>
      <c r="M270" s="15">
        <v>705.97</v>
      </c>
      <c r="N270" s="10" t="s">
        <v>16</v>
      </c>
      <c r="O270" s="17" t="s">
        <v>51</v>
      </c>
      <c r="P270" s="2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312</v>
      </c>
      <c r="B271" s="9" t="s">
        <v>575</v>
      </c>
      <c r="C271" s="4" t="s">
        <v>575</v>
      </c>
      <c r="D271" s="10" t="s">
        <v>13</v>
      </c>
      <c r="E271" s="10">
        <v>4094.66</v>
      </c>
      <c r="F271" s="5" t="str">
        <f>IF(DMart_Sales_data[[#This Row],[sales]]&gt;3000,"High Sales",IF(DMart_Sales_data[[#This Row],[sales]]&gt;1000,"Medium Sales","Low Sales"))</f>
        <v>High Sales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25</v>
      </c>
      <c r="M271" s="10">
        <v>369.04</v>
      </c>
      <c r="N271" s="10" t="s">
        <v>78</v>
      </c>
      <c r="O271" s="12" t="s">
        <v>78</v>
      </c>
      <c r="P271" s="2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5" t="str">
        <f>IF(DMart_Sales_data[[#This Row],[sales]]&gt;3000,"High Sales",IF(DMart_Sales_data[[#This Row],[sales]]&gt;1000,"Medium Sales","Low Sales"))</f>
        <v>High Sales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25</v>
      </c>
      <c r="M272" s="15">
        <v>696.38</v>
      </c>
      <c r="N272" s="10" t="s">
        <v>34</v>
      </c>
      <c r="O272" s="17" t="s">
        <v>29</v>
      </c>
      <c r="P272" s="2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314</v>
      </c>
      <c r="B273" s="9" t="s">
        <v>28</v>
      </c>
      <c r="C273" s="4" t="s">
        <v>28</v>
      </c>
      <c r="D273" s="10" t="s">
        <v>18</v>
      </c>
      <c r="E273" s="10">
        <v>3143.7</v>
      </c>
      <c r="F273" s="5" t="str">
        <f>IF(DMart_Sales_data[[#This Row],[sales]]&gt;3000,"High Sales",IF(DMart_Sales_data[[#This Row],[sales]]&gt;1000,"Medium Sales","Low Sales"))</f>
        <v>High Sales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19</v>
      </c>
      <c r="L273" s="10" t="s">
        <v>25</v>
      </c>
      <c r="M273" s="10">
        <v>344.8</v>
      </c>
      <c r="N273" s="10" t="s">
        <v>34</v>
      </c>
      <c r="O273" s="12" t="s">
        <v>29</v>
      </c>
      <c r="P273" s="2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5" t="str">
        <f>IF(DMart_Sales_data[[#This Row],[sales]]&gt;3000,"High Sales",IF(DMart_Sales_data[[#This Row],[sales]]&gt;1000,"Medium Sales","Low Sales"))</f>
        <v>Medium Sales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31</v>
      </c>
      <c r="L274" s="15" t="s">
        <v>25</v>
      </c>
      <c r="M274" s="15">
        <v>399.72</v>
      </c>
      <c r="N274" s="10" t="s">
        <v>99</v>
      </c>
      <c r="O274" s="17" t="s">
        <v>64</v>
      </c>
      <c r="P274" s="2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316</v>
      </c>
      <c r="B275" s="9" t="s">
        <v>575</v>
      </c>
      <c r="C275" s="4" t="s">
        <v>575</v>
      </c>
      <c r="D275" s="10" t="s">
        <v>33</v>
      </c>
      <c r="E275" s="10">
        <v>4953.24</v>
      </c>
      <c r="F275" s="5" t="str">
        <f>IF(DMart_Sales_data[[#This Row],[sales]]&gt;3000,"High Sales",IF(DMart_Sales_data[[#This Row],[sales]]&gt;1000,"Medium Sales","Low Sales"))</f>
        <v>High Sales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31</v>
      </c>
      <c r="L275" s="10" t="s">
        <v>25</v>
      </c>
      <c r="M275" s="10">
        <v>627.20000000000005</v>
      </c>
      <c r="N275" s="10" t="s">
        <v>99</v>
      </c>
      <c r="O275" s="12" t="s">
        <v>99</v>
      </c>
      <c r="P275" s="2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317</v>
      </c>
      <c r="B276" s="14" t="s">
        <v>23</v>
      </c>
      <c r="C276" s="4" t="s">
        <v>23</v>
      </c>
      <c r="D276" s="15" t="s">
        <v>33</v>
      </c>
      <c r="E276" s="15">
        <v>2291.09</v>
      </c>
      <c r="F276" s="5" t="str">
        <f>IF(DMart_Sales_data[[#This Row],[sales]]&gt;3000,"High Sales",IF(DMart_Sales_data[[#This Row],[sales]]&gt;1000,"Medium Sales","Low Sales"))</f>
        <v>Medium Sales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19</v>
      </c>
      <c r="L276" s="15" t="s">
        <v>15</v>
      </c>
      <c r="M276" s="15">
        <v>139.74</v>
      </c>
      <c r="N276" s="10" t="s">
        <v>99</v>
      </c>
      <c r="O276" s="17" t="s">
        <v>64</v>
      </c>
      <c r="P276" s="2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318</v>
      </c>
      <c r="B277" s="9" t="s">
        <v>28</v>
      </c>
      <c r="C277" s="4" t="s">
        <v>28</v>
      </c>
      <c r="D277" s="10" t="s">
        <v>13</v>
      </c>
      <c r="E277" s="10">
        <v>4592.47</v>
      </c>
      <c r="F277" s="5" t="str">
        <f>IF(DMart_Sales_data[[#This Row],[sales]]&gt;3000,"High Sales",IF(DMart_Sales_data[[#This Row],[sales]]&gt;1000,"Medium Sales","Low Sales"))</f>
        <v>High Sales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19</v>
      </c>
      <c r="L277" s="10" t="s">
        <v>15</v>
      </c>
      <c r="M277" s="10">
        <v>1369.07</v>
      </c>
      <c r="N277" s="10" t="s">
        <v>99</v>
      </c>
      <c r="O277" s="12" t="s">
        <v>99</v>
      </c>
      <c r="P277" s="2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5" t="str">
        <f>IF(DMart_Sales_data[[#This Row],[sales]]&gt;3000,"High Sales",IF(DMart_Sales_data[[#This Row],[sales]]&gt;1000,"Medium Sales","Low Sales"))</f>
        <v>High Sales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19</v>
      </c>
      <c r="L278" s="15" t="s">
        <v>25</v>
      </c>
      <c r="M278" s="15">
        <v>620.79</v>
      </c>
      <c r="N278" s="10" t="s">
        <v>99</v>
      </c>
      <c r="O278" s="17" t="s">
        <v>62</v>
      </c>
      <c r="P278" s="2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320</v>
      </c>
      <c r="B279" s="9" t="s">
        <v>575</v>
      </c>
      <c r="C279" s="4" t="s">
        <v>575</v>
      </c>
      <c r="D279" s="10" t="s">
        <v>24</v>
      </c>
      <c r="E279" s="10">
        <v>1721.79</v>
      </c>
      <c r="F279" s="5" t="str">
        <f>IF(DMart_Sales_data[[#This Row],[sales]]&gt;3000,"High Sales",IF(DMart_Sales_data[[#This Row],[sales]]&gt;1000,"Medium Sales","Low Sales"))</f>
        <v>Medium Sales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20</v>
      </c>
      <c r="M279" s="10">
        <v>436.28</v>
      </c>
      <c r="N279" s="10" t="s">
        <v>78</v>
      </c>
      <c r="O279" s="12" t="s">
        <v>21</v>
      </c>
      <c r="P279" s="2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321</v>
      </c>
      <c r="B280" s="14" t="s">
        <v>23</v>
      </c>
      <c r="C280" s="4" t="s">
        <v>23</v>
      </c>
      <c r="D280" s="15" t="s">
        <v>36</v>
      </c>
      <c r="E280" s="15">
        <v>2565</v>
      </c>
      <c r="F280" s="5" t="str">
        <f>IF(DMart_Sales_data[[#This Row],[sales]]&gt;3000,"High Sales",IF(DMart_Sales_data[[#This Row],[sales]]&gt;1000,"Medium Sales","Low Sales"))</f>
        <v>Medium Sales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19</v>
      </c>
      <c r="L280" s="15" t="s">
        <v>25</v>
      </c>
      <c r="M280" s="15">
        <v>202.72</v>
      </c>
      <c r="N280" s="10" t="s">
        <v>78</v>
      </c>
      <c r="O280" s="17" t="s">
        <v>54</v>
      </c>
      <c r="P280" s="2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5" t="str">
        <f>IF(DMart_Sales_data[[#This Row],[sales]]&gt;3000,"High Sales",IF(DMart_Sales_data[[#This Row],[sales]]&gt;1000,"Medium Sales","Low Sales"))</f>
        <v>Medium Sales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19</v>
      </c>
      <c r="L281" s="10" t="s">
        <v>25</v>
      </c>
      <c r="M281" s="10">
        <v>400.98</v>
      </c>
      <c r="N281" s="10" t="s">
        <v>26</v>
      </c>
      <c r="O281" s="12" t="s">
        <v>47</v>
      </c>
      <c r="P281" s="2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5" t="str">
        <f>IF(DMart_Sales_data[[#This Row],[sales]]&gt;3000,"High Sales",IF(DMart_Sales_data[[#This Row],[sales]]&gt;1000,"Medium Sales","Low Sales"))</f>
        <v>Low Sales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31</v>
      </c>
      <c r="L282" s="15" t="s">
        <v>20</v>
      </c>
      <c r="M282" s="15">
        <v>139.09</v>
      </c>
      <c r="N282" s="10" t="s">
        <v>34</v>
      </c>
      <c r="O282" s="17" t="s">
        <v>57</v>
      </c>
      <c r="P282" s="2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324</v>
      </c>
      <c r="B283" s="9" t="s">
        <v>575</v>
      </c>
      <c r="C283" s="4" t="s">
        <v>575</v>
      </c>
      <c r="D283" s="10" t="s">
        <v>36</v>
      </c>
      <c r="E283" s="10">
        <v>1848.16</v>
      </c>
      <c r="F283" s="5" t="str">
        <f>IF(DMart_Sales_data[[#This Row],[sales]]&gt;3000,"High Sales",IF(DMart_Sales_data[[#This Row],[sales]]&gt;1000,"Medium Sales","Low Sales"))</f>
        <v>Medium Sales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31</v>
      </c>
      <c r="L283" s="10" t="s">
        <v>20</v>
      </c>
      <c r="M283" s="10">
        <v>533.01</v>
      </c>
      <c r="N283" s="10" t="s">
        <v>34</v>
      </c>
      <c r="O283" s="12" t="s">
        <v>29</v>
      </c>
      <c r="P283" s="2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5" t="str">
        <f>IF(DMart_Sales_data[[#This Row],[sales]]&gt;3000,"High Sales",IF(DMart_Sales_data[[#This Row],[sales]]&gt;1000,"Medium Sales","Low Sales"))</f>
        <v>High Sales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25</v>
      </c>
      <c r="M284" s="15">
        <v>1118.01</v>
      </c>
      <c r="N284" s="10" t="s">
        <v>26</v>
      </c>
      <c r="O284" s="17" t="s">
        <v>26</v>
      </c>
      <c r="P284" s="2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326</v>
      </c>
      <c r="B285" s="9" t="s">
        <v>28</v>
      </c>
      <c r="C285" s="4" t="s">
        <v>28</v>
      </c>
      <c r="D285" s="10" t="s">
        <v>24</v>
      </c>
      <c r="E285" s="10">
        <v>3787.91</v>
      </c>
      <c r="F285" s="5" t="str">
        <f>IF(DMart_Sales_data[[#This Row],[sales]]&gt;3000,"High Sales",IF(DMart_Sales_data[[#This Row],[sales]]&gt;1000,"Medium Sales","Low Sales"))</f>
        <v>High Sales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31</v>
      </c>
      <c r="L285" s="10" t="s">
        <v>25</v>
      </c>
      <c r="M285" s="10">
        <v>580.76</v>
      </c>
      <c r="N285" s="10" t="s">
        <v>78</v>
      </c>
      <c r="O285" s="12" t="s">
        <v>21</v>
      </c>
      <c r="P285" s="2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5" t="str">
        <f>IF(DMart_Sales_data[[#This Row],[sales]]&gt;3000,"High Sales",IF(DMart_Sales_data[[#This Row],[sales]]&gt;1000,"Medium Sales","Low Sales"))</f>
        <v>Medium Sales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31</v>
      </c>
      <c r="L286" s="15" t="s">
        <v>20</v>
      </c>
      <c r="M286" s="15">
        <v>362.96</v>
      </c>
      <c r="N286" s="10" t="s">
        <v>78</v>
      </c>
      <c r="O286" s="17" t="s">
        <v>21</v>
      </c>
      <c r="P286" s="2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328</v>
      </c>
      <c r="B287" s="9" t="s">
        <v>575</v>
      </c>
      <c r="C287" s="4" t="s">
        <v>575</v>
      </c>
      <c r="D287" s="10" t="s">
        <v>24</v>
      </c>
      <c r="E287" s="10">
        <v>1902.78</v>
      </c>
      <c r="F287" s="5" t="str">
        <f>IF(DMart_Sales_data[[#This Row],[sales]]&gt;3000,"High Sales",IF(DMart_Sales_data[[#This Row],[sales]]&gt;1000,"Medium Sales","Low Sales"))</f>
        <v>Medium Sales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19</v>
      </c>
      <c r="L287" s="10" t="s">
        <v>20</v>
      </c>
      <c r="M287" s="10">
        <v>289.24</v>
      </c>
      <c r="N287" s="10" t="s">
        <v>78</v>
      </c>
      <c r="O287" s="12" t="s">
        <v>21</v>
      </c>
      <c r="P287" s="2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329</v>
      </c>
      <c r="B288" s="14" t="s">
        <v>23</v>
      </c>
      <c r="C288" s="4" t="s">
        <v>23</v>
      </c>
      <c r="D288" s="15" t="s">
        <v>13</v>
      </c>
      <c r="E288" s="15">
        <v>3120.53</v>
      </c>
      <c r="F288" s="5" t="str">
        <f>IF(DMart_Sales_data[[#This Row],[sales]]&gt;3000,"High Sales",IF(DMart_Sales_data[[#This Row],[sales]]&gt;1000,"Medium Sales","Low Sales"))</f>
        <v>High Sales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31</v>
      </c>
      <c r="L288" s="15" t="s">
        <v>25</v>
      </c>
      <c r="M288" s="15">
        <v>749.57</v>
      </c>
      <c r="N288" s="10" t="s">
        <v>16</v>
      </c>
      <c r="O288" s="17" t="s">
        <v>16</v>
      </c>
      <c r="P288" s="2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330</v>
      </c>
      <c r="B289" s="9" t="s">
        <v>28</v>
      </c>
      <c r="C289" s="4" t="s">
        <v>28</v>
      </c>
      <c r="D289" s="10" t="s">
        <v>18</v>
      </c>
      <c r="E289" s="10">
        <v>2139.09</v>
      </c>
      <c r="F289" s="5" t="str">
        <f>IF(DMart_Sales_data[[#This Row],[sales]]&gt;3000,"High Sales",IF(DMart_Sales_data[[#This Row],[sales]]&gt;1000,"Medium Sales","Low Sales"))</f>
        <v>Medium Sales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31</v>
      </c>
      <c r="L289" s="10" t="s">
        <v>25</v>
      </c>
      <c r="M289" s="10">
        <v>262.82</v>
      </c>
      <c r="N289" s="10" t="s">
        <v>40</v>
      </c>
      <c r="O289" s="12" t="s">
        <v>67</v>
      </c>
      <c r="P289" s="2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5" t="str">
        <f>IF(DMart_Sales_data[[#This Row],[sales]]&gt;3000,"High Sales",IF(DMart_Sales_data[[#This Row],[sales]]&gt;1000,"Medium Sales","Low Sales"))</f>
        <v>Medium Sales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31</v>
      </c>
      <c r="L290" s="15" t="s">
        <v>20</v>
      </c>
      <c r="M290" s="15">
        <v>367.39</v>
      </c>
      <c r="N290" s="10" t="s">
        <v>34</v>
      </c>
      <c r="O290" s="17" t="s">
        <v>57</v>
      </c>
      <c r="P290" s="2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332</v>
      </c>
      <c r="B291" s="9" t="s">
        <v>575</v>
      </c>
      <c r="C291" s="4" t="s">
        <v>575</v>
      </c>
      <c r="D291" s="10" t="s">
        <v>13</v>
      </c>
      <c r="E291" s="10">
        <v>3521.03</v>
      </c>
      <c r="F291" s="5" t="str">
        <f>IF(DMart_Sales_data[[#This Row],[sales]]&gt;3000,"High Sales",IF(DMart_Sales_data[[#This Row],[sales]]&gt;1000,"Medium Sales","Low Sales"))</f>
        <v>High Sales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31</v>
      </c>
      <c r="L291" s="10" t="s">
        <v>25</v>
      </c>
      <c r="M291" s="10">
        <v>709.19</v>
      </c>
      <c r="N291" s="10" t="s">
        <v>40</v>
      </c>
      <c r="O291" s="12" t="s">
        <v>40</v>
      </c>
      <c r="P291" s="2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333</v>
      </c>
      <c r="B292" s="14" t="s">
        <v>23</v>
      </c>
      <c r="C292" s="4" t="s">
        <v>23</v>
      </c>
      <c r="D292" s="15" t="s">
        <v>13</v>
      </c>
      <c r="E292" s="15">
        <v>2389.5300000000002</v>
      </c>
      <c r="F292" s="5" t="str">
        <f>IF(DMart_Sales_data[[#This Row],[sales]]&gt;3000,"High Sales",IF(DMart_Sales_data[[#This Row],[sales]]&gt;1000,"Medium Sales","Low Sales"))</f>
        <v>Medium Sales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31</v>
      </c>
      <c r="L292" s="15" t="s">
        <v>15</v>
      </c>
      <c r="M292" s="15">
        <v>442.59</v>
      </c>
      <c r="N292" s="10" t="s">
        <v>78</v>
      </c>
      <c r="O292" s="17" t="s">
        <v>78</v>
      </c>
      <c r="P292" s="2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5" t="str">
        <f>IF(DMart_Sales_data[[#This Row],[sales]]&gt;3000,"High Sales",IF(DMart_Sales_data[[#This Row],[sales]]&gt;1000,"Medium Sales","Low Sales"))</f>
        <v>Medium Sales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31</v>
      </c>
      <c r="L293" s="10" t="s">
        <v>25</v>
      </c>
      <c r="M293" s="10">
        <v>154.19</v>
      </c>
      <c r="N293" s="10" t="s">
        <v>34</v>
      </c>
      <c r="O293" s="12" t="s">
        <v>34</v>
      </c>
      <c r="P293" s="2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5" t="str">
        <f>IF(DMart_Sales_data[[#This Row],[sales]]&gt;3000,"High Sales",IF(DMart_Sales_data[[#This Row],[sales]]&gt;1000,"Medium Sales","Low Sales"))</f>
        <v>Medium Sales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31</v>
      </c>
      <c r="L294" s="15" t="s">
        <v>20</v>
      </c>
      <c r="M294" s="15">
        <v>753.91</v>
      </c>
      <c r="N294" s="10" t="s">
        <v>78</v>
      </c>
      <c r="O294" s="17" t="s">
        <v>54</v>
      </c>
      <c r="P294" s="2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336</v>
      </c>
      <c r="B295" s="9" t="s">
        <v>575</v>
      </c>
      <c r="C295" s="4" t="s">
        <v>575</v>
      </c>
      <c r="D295" s="10" t="s">
        <v>33</v>
      </c>
      <c r="E295" s="10">
        <v>1844.98</v>
      </c>
      <c r="F295" s="5" t="str">
        <f>IF(DMart_Sales_data[[#This Row],[sales]]&gt;3000,"High Sales",IF(DMart_Sales_data[[#This Row],[sales]]&gt;1000,"Medium Sales","Low Sales"))</f>
        <v>Medium Sales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31</v>
      </c>
      <c r="L295" s="10" t="s">
        <v>15</v>
      </c>
      <c r="M295" s="10">
        <v>324.74</v>
      </c>
      <c r="N295" s="10" t="s">
        <v>34</v>
      </c>
      <c r="O295" s="12" t="s">
        <v>57</v>
      </c>
      <c r="P295" s="2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5" t="str">
        <f>IF(DMart_Sales_data[[#This Row],[sales]]&gt;3000,"High Sales",IF(DMart_Sales_data[[#This Row],[sales]]&gt;1000,"Medium Sales","Low Sales"))</f>
        <v>Medium Sales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25</v>
      </c>
      <c r="M296" s="15">
        <v>351.13</v>
      </c>
      <c r="N296" s="10" t="s">
        <v>40</v>
      </c>
      <c r="O296" s="17" t="s">
        <v>40</v>
      </c>
      <c r="P296" s="2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338</v>
      </c>
      <c r="B297" s="9" t="s">
        <v>28</v>
      </c>
      <c r="C297" s="4" t="s">
        <v>28</v>
      </c>
      <c r="D297" s="10" t="s">
        <v>36</v>
      </c>
      <c r="E297" s="10">
        <v>1707.73</v>
      </c>
      <c r="F297" s="5" t="str">
        <f>IF(DMart_Sales_data[[#This Row],[sales]]&gt;3000,"High Sales",IF(DMart_Sales_data[[#This Row],[sales]]&gt;1000,"Medium Sales","Low Sales"))</f>
        <v>Medium Sales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19</v>
      </c>
      <c r="L297" s="10" t="s">
        <v>20</v>
      </c>
      <c r="M297" s="10">
        <v>263.39999999999998</v>
      </c>
      <c r="N297" s="10" t="s">
        <v>40</v>
      </c>
      <c r="O297" s="12" t="s">
        <v>43</v>
      </c>
      <c r="P297" s="2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5" t="str">
        <f>IF(DMart_Sales_data[[#This Row],[sales]]&gt;3000,"High Sales",IF(DMart_Sales_data[[#This Row],[sales]]&gt;1000,"Medium Sales","Low Sales"))</f>
        <v>Medium Sales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31</v>
      </c>
      <c r="L298" s="15" t="s">
        <v>15</v>
      </c>
      <c r="M298" s="15">
        <v>519.6</v>
      </c>
      <c r="N298" s="10" t="s">
        <v>40</v>
      </c>
      <c r="O298" s="17" t="s">
        <v>67</v>
      </c>
      <c r="P298" s="2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340</v>
      </c>
      <c r="B299" s="9" t="s">
        <v>575</v>
      </c>
      <c r="C299" s="4" t="s">
        <v>575</v>
      </c>
      <c r="D299" s="10" t="s">
        <v>24</v>
      </c>
      <c r="E299" s="10">
        <v>4444.3999999999996</v>
      </c>
      <c r="F299" s="5" t="str">
        <f>IF(DMart_Sales_data[[#This Row],[sales]]&gt;3000,"High Sales",IF(DMart_Sales_data[[#This Row],[sales]]&gt;1000,"Medium Sales","Low Sales"))</f>
        <v>High Sales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19</v>
      </c>
      <c r="L299" s="10" t="s">
        <v>20</v>
      </c>
      <c r="M299" s="10">
        <v>1102.6300000000001</v>
      </c>
      <c r="N299" s="10" t="s">
        <v>26</v>
      </c>
      <c r="O299" s="12" t="s">
        <v>26</v>
      </c>
      <c r="P299" s="2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341</v>
      </c>
      <c r="B300" s="14" t="s">
        <v>23</v>
      </c>
      <c r="C300" s="4" t="s">
        <v>23</v>
      </c>
      <c r="D300" s="15" t="s">
        <v>13</v>
      </c>
      <c r="E300" s="15">
        <v>3696.88</v>
      </c>
      <c r="F300" s="5" t="str">
        <f>IF(DMart_Sales_data[[#This Row],[sales]]&gt;3000,"High Sales",IF(DMart_Sales_data[[#This Row],[sales]]&gt;1000,"Medium Sales","Low Sales"))</f>
        <v>High Sales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31</v>
      </c>
      <c r="L300" s="15" t="s">
        <v>25</v>
      </c>
      <c r="M300" s="15">
        <v>690.48</v>
      </c>
      <c r="N300" s="10" t="s">
        <v>40</v>
      </c>
      <c r="O300" s="17" t="s">
        <v>67</v>
      </c>
      <c r="P300" s="2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342</v>
      </c>
      <c r="B301" s="9" t="s">
        <v>28</v>
      </c>
      <c r="C301" s="4" t="s">
        <v>28</v>
      </c>
      <c r="D301" s="10" t="s">
        <v>13</v>
      </c>
      <c r="E301" s="10">
        <v>3372.62</v>
      </c>
      <c r="F301" s="5" t="str">
        <f>IF(DMart_Sales_data[[#This Row],[sales]]&gt;3000,"High Sales",IF(DMart_Sales_data[[#This Row],[sales]]&gt;1000,"Medium Sales","Low Sales"))</f>
        <v>High Sales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10" t="s">
        <v>78</v>
      </c>
      <c r="O301" s="12" t="s">
        <v>78</v>
      </c>
      <c r="P301" s="2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5" t="str">
        <f>IF(DMart_Sales_data[[#This Row],[sales]]&gt;3000,"High Sales",IF(DMart_Sales_data[[#This Row],[sales]]&gt;1000,"Medium Sales","Low Sales"))</f>
        <v>Medium Sales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31</v>
      </c>
      <c r="L302" s="15" t="s">
        <v>25</v>
      </c>
      <c r="M302" s="15">
        <v>424.14</v>
      </c>
      <c r="N302" s="10" t="s">
        <v>26</v>
      </c>
      <c r="O302" s="17" t="s">
        <v>26</v>
      </c>
      <c r="P302" s="2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344</v>
      </c>
      <c r="B303" s="9" t="s">
        <v>575</v>
      </c>
      <c r="C303" s="4" t="s">
        <v>575</v>
      </c>
      <c r="D303" s="10" t="s">
        <v>33</v>
      </c>
      <c r="E303" s="10">
        <v>108.97</v>
      </c>
      <c r="F303" s="5" t="str">
        <f>IF(DMart_Sales_data[[#This Row],[sales]]&gt;3000,"High Sales",IF(DMart_Sales_data[[#This Row],[sales]]&gt;1000,"Medium Sales","Low Sales"))</f>
        <v>Low Sales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10" t="s">
        <v>99</v>
      </c>
      <c r="O303" s="12" t="s">
        <v>64</v>
      </c>
      <c r="P303" s="2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345</v>
      </c>
      <c r="B304" s="14" t="s">
        <v>23</v>
      </c>
      <c r="C304" s="4" t="s">
        <v>23</v>
      </c>
      <c r="D304" s="15" t="s">
        <v>33</v>
      </c>
      <c r="E304" s="15">
        <v>1768.7</v>
      </c>
      <c r="F304" s="5" t="str">
        <f>IF(DMart_Sales_data[[#This Row],[sales]]&gt;3000,"High Sales",IF(DMart_Sales_data[[#This Row],[sales]]&gt;1000,"Medium Sales","Low Sales"))</f>
        <v>Medium Sales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31</v>
      </c>
      <c r="L304" s="15" t="s">
        <v>25</v>
      </c>
      <c r="M304" s="15">
        <v>125.52</v>
      </c>
      <c r="N304" s="10" t="s">
        <v>26</v>
      </c>
      <c r="O304" s="17" t="s">
        <v>47</v>
      </c>
      <c r="P304" s="2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5" t="str">
        <f>IF(DMart_Sales_data[[#This Row],[sales]]&gt;3000,"High Sales",IF(DMart_Sales_data[[#This Row],[sales]]&gt;1000,"Medium Sales","Low Sales"))</f>
        <v>High Sales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31</v>
      </c>
      <c r="L305" s="10" t="s">
        <v>15</v>
      </c>
      <c r="M305" s="10">
        <v>800.8</v>
      </c>
      <c r="N305" s="10" t="s">
        <v>78</v>
      </c>
      <c r="O305" s="12" t="s">
        <v>54</v>
      </c>
      <c r="P305" s="2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5" t="str">
        <f>IF(DMart_Sales_data[[#This Row],[sales]]&gt;3000,"High Sales",IF(DMart_Sales_data[[#This Row],[sales]]&gt;1000,"Medium Sales","Low Sales"))</f>
        <v>Medium Sales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19</v>
      </c>
      <c r="L306" s="15" t="s">
        <v>20</v>
      </c>
      <c r="M306" s="15">
        <v>117.22</v>
      </c>
      <c r="N306" s="10" t="s">
        <v>78</v>
      </c>
      <c r="O306" s="17" t="s">
        <v>21</v>
      </c>
      <c r="P306" s="2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348</v>
      </c>
      <c r="B307" s="9" t="s">
        <v>575</v>
      </c>
      <c r="C307" s="4" t="s">
        <v>575</v>
      </c>
      <c r="D307" s="10" t="s">
        <v>36</v>
      </c>
      <c r="E307" s="10">
        <v>2862.71</v>
      </c>
      <c r="F307" s="5" t="str">
        <f>IF(DMart_Sales_data[[#This Row],[sales]]&gt;3000,"High Sales",IF(DMart_Sales_data[[#This Row],[sales]]&gt;1000,"Medium Sales","Low Sales"))</f>
        <v>Medium Sales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31</v>
      </c>
      <c r="L307" s="10" t="s">
        <v>25</v>
      </c>
      <c r="M307" s="10">
        <v>491.84</v>
      </c>
      <c r="N307" s="10" t="s">
        <v>34</v>
      </c>
      <c r="O307" s="12" t="s">
        <v>34</v>
      </c>
      <c r="P307" s="2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5" t="str">
        <f>IF(DMart_Sales_data[[#This Row],[sales]]&gt;3000,"High Sales",IF(DMart_Sales_data[[#This Row],[sales]]&gt;1000,"Medium Sales","Low Sales"))</f>
        <v>Medium Sales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31</v>
      </c>
      <c r="L308" s="15" t="s">
        <v>25</v>
      </c>
      <c r="M308" s="15">
        <v>245.99</v>
      </c>
      <c r="N308" s="10" t="s">
        <v>26</v>
      </c>
      <c r="O308" s="17" t="s">
        <v>38</v>
      </c>
      <c r="P308" s="2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350</v>
      </c>
      <c r="B309" s="9" t="s">
        <v>28</v>
      </c>
      <c r="C309" s="4" t="s">
        <v>28</v>
      </c>
      <c r="D309" s="10" t="s">
        <v>36</v>
      </c>
      <c r="E309" s="10">
        <v>4587.7</v>
      </c>
      <c r="F309" s="5" t="str">
        <f>IF(DMart_Sales_data[[#This Row],[sales]]&gt;3000,"High Sales",IF(DMart_Sales_data[[#This Row],[sales]]&gt;1000,"Medium Sales","Low Sales"))</f>
        <v>High Sales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20</v>
      </c>
      <c r="M309" s="10">
        <v>665.8</v>
      </c>
      <c r="N309" s="10" t="s">
        <v>16</v>
      </c>
      <c r="O309" s="12" t="s">
        <v>94</v>
      </c>
      <c r="P309" s="2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5" t="str">
        <f>IF(DMart_Sales_data[[#This Row],[sales]]&gt;3000,"High Sales",IF(DMart_Sales_data[[#This Row],[sales]]&gt;1000,"Medium Sales","Low Sales"))</f>
        <v>High Sales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19</v>
      </c>
      <c r="L310" s="15" t="s">
        <v>25</v>
      </c>
      <c r="M310" s="15">
        <v>362.88</v>
      </c>
      <c r="N310" s="10" t="s">
        <v>26</v>
      </c>
      <c r="O310" s="17" t="s">
        <v>47</v>
      </c>
      <c r="P310" s="2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352</v>
      </c>
      <c r="B311" s="9" t="s">
        <v>575</v>
      </c>
      <c r="C311" s="4" t="s">
        <v>575</v>
      </c>
      <c r="D311" s="10" t="s">
        <v>36</v>
      </c>
      <c r="E311" s="10">
        <v>815.74</v>
      </c>
      <c r="F311" s="5" t="str">
        <f>IF(DMart_Sales_data[[#This Row],[sales]]&gt;3000,"High Sales",IF(DMart_Sales_data[[#This Row],[sales]]&gt;1000,"Medium Sales","Low Sales"))</f>
        <v>Low Sales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31</v>
      </c>
      <c r="L311" s="10" t="s">
        <v>15</v>
      </c>
      <c r="M311" s="10">
        <v>234</v>
      </c>
      <c r="N311" s="10" t="s">
        <v>34</v>
      </c>
      <c r="O311" s="12" t="s">
        <v>29</v>
      </c>
      <c r="P311" s="2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353</v>
      </c>
      <c r="B312" s="14" t="s">
        <v>23</v>
      </c>
      <c r="C312" s="4" t="s">
        <v>23</v>
      </c>
      <c r="D312" s="15" t="s">
        <v>24</v>
      </c>
      <c r="E312" s="15">
        <v>3648.38</v>
      </c>
      <c r="F312" s="5" t="str">
        <f>IF(DMart_Sales_data[[#This Row],[sales]]&gt;3000,"High Sales",IF(DMart_Sales_data[[#This Row],[sales]]&gt;1000,"Medium Sales","Low Sales"))</f>
        <v>High Sales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19</v>
      </c>
      <c r="L312" s="15" t="s">
        <v>20</v>
      </c>
      <c r="M312" s="15">
        <v>1033.49</v>
      </c>
      <c r="N312" s="10" t="s">
        <v>99</v>
      </c>
      <c r="O312" s="17" t="s">
        <v>99</v>
      </c>
      <c r="P312" s="2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354</v>
      </c>
      <c r="B313" s="9" t="s">
        <v>28</v>
      </c>
      <c r="C313" s="4" t="s">
        <v>28</v>
      </c>
      <c r="D313" s="10" t="s">
        <v>33</v>
      </c>
      <c r="E313" s="10">
        <v>468.67</v>
      </c>
      <c r="F313" s="5" t="str">
        <f>IF(DMart_Sales_data[[#This Row],[sales]]&gt;3000,"High Sales",IF(DMart_Sales_data[[#This Row],[sales]]&gt;1000,"Medium Sales","Low Sales"))</f>
        <v>Low Sales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19</v>
      </c>
      <c r="L313" s="10" t="s">
        <v>15</v>
      </c>
      <c r="M313" s="10">
        <v>116.61</v>
      </c>
      <c r="N313" s="10" t="s">
        <v>78</v>
      </c>
      <c r="O313" s="12" t="s">
        <v>54</v>
      </c>
      <c r="P313" s="2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5" t="str">
        <f>IF(DMart_Sales_data[[#This Row],[sales]]&gt;3000,"High Sales",IF(DMart_Sales_data[[#This Row],[sales]]&gt;1000,"Medium Sales","Low Sales"))</f>
        <v>High Sales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31</v>
      </c>
      <c r="L314" s="15" t="s">
        <v>20</v>
      </c>
      <c r="M314" s="15">
        <v>309.11</v>
      </c>
      <c r="N314" s="10" t="s">
        <v>99</v>
      </c>
      <c r="O314" s="17" t="s">
        <v>62</v>
      </c>
      <c r="P314" s="2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356</v>
      </c>
      <c r="B315" s="9" t="s">
        <v>575</v>
      </c>
      <c r="C315" s="4" t="s">
        <v>575</v>
      </c>
      <c r="D315" s="10" t="s">
        <v>24</v>
      </c>
      <c r="E315" s="10">
        <v>975.4</v>
      </c>
      <c r="F315" s="5" t="str">
        <f>IF(DMart_Sales_data[[#This Row],[sales]]&gt;3000,"High Sales",IF(DMart_Sales_data[[#This Row],[sales]]&gt;1000,"Medium Sales","Low Sales"))</f>
        <v>Low Sales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31</v>
      </c>
      <c r="L315" s="10" t="s">
        <v>15</v>
      </c>
      <c r="M315" s="10">
        <v>237.24</v>
      </c>
      <c r="N315" s="10" t="s">
        <v>34</v>
      </c>
      <c r="O315" s="12" t="s">
        <v>57</v>
      </c>
      <c r="P315" s="2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357</v>
      </c>
      <c r="B316" s="14" t="s">
        <v>23</v>
      </c>
      <c r="C316" s="4" t="s">
        <v>23</v>
      </c>
      <c r="D316" s="15" t="s">
        <v>13</v>
      </c>
      <c r="E316" s="15">
        <v>813.96</v>
      </c>
      <c r="F316" s="5" t="str">
        <f>IF(DMart_Sales_data[[#This Row],[sales]]&gt;3000,"High Sales",IF(DMart_Sales_data[[#This Row],[sales]]&gt;1000,"Medium Sales","Low Sales"))</f>
        <v>Low Sales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31</v>
      </c>
      <c r="L316" s="15" t="s">
        <v>25</v>
      </c>
      <c r="M316" s="15">
        <v>108.85</v>
      </c>
      <c r="N316" s="10" t="s">
        <v>34</v>
      </c>
      <c r="O316" s="17" t="s">
        <v>57</v>
      </c>
      <c r="P316" s="2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5" t="str">
        <f>IF(DMart_Sales_data[[#This Row],[sales]]&gt;3000,"High Sales",IF(DMart_Sales_data[[#This Row],[sales]]&gt;1000,"Medium Sales","Low Sales"))</f>
        <v>Low Sales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31</v>
      </c>
      <c r="L317" s="10" t="s">
        <v>15</v>
      </c>
      <c r="M317" s="10">
        <v>24.31</v>
      </c>
      <c r="N317" s="10" t="s">
        <v>16</v>
      </c>
      <c r="O317" s="12" t="s">
        <v>94</v>
      </c>
      <c r="P317" s="2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5" t="str">
        <f>IF(DMart_Sales_data[[#This Row],[sales]]&gt;3000,"High Sales",IF(DMart_Sales_data[[#This Row],[sales]]&gt;1000,"Medium Sales","Low Sales"))</f>
        <v>High Sales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31</v>
      </c>
      <c r="L318" s="15" t="s">
        <v>25</v>
      </c>
      <c r="M318" s="15">
        <v>762.19</v>
      </c>
      <c r="N318" s="10" t="s">
        <v>78</v>
      </c>
      <c r="O318" s="17" t="s">
        <v>78</v>
      </c>
      <c r="P318" s="2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360</v>
      </c>
      <c r="B319" s="9" t="s">
        <v>575</v>
      </c>
      <c r="C319" s="4" t="s">
        <v>575</v>
      </c>
      <c r="D319" s="10" t="s">
        <v>13</v>
      </c>
      <c r="E319" s="10">
        <v>4163.34</v>
      </c>
      <c r="F319" s="5" t="str">
        <f>IF(DMart_Sales_data[[#This Row],[sales]]&gt;3000,"High Sales",IF(DMart_Sales_data[[#This Row],[sales]]&gt;1000,"Medium Sales","Low Sales"))</f>
        <v>High Sales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19</v>
      </c>
      <c r="L319" s="10" t="s">
        <v>20</v>
      </c>
      <c r="M319" s="10">
        <v>468.81</v>
      </c>
      <c r="N319" s="10" t="s">
        <v>99</v>
      </c>
      <c r="O319" s="12" t="s">
        <v>64</v>
      </c>
      <c r="P319" s="2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5" t="str">
        <f>IF(DMart_Sales_data[[#This Row],[sales]]&gt;3000,"High Sales",IF(DMart_Sales_data[[#This Row],[sales]]&gt;1000,"Medium Sales","Low Sales"))</f>
        <v>Low Sales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0" t="s">
        <v>34</v>
      </c>
      <c r="O320" s="17" t="s">
        <v>57</v>
      </c>
      <c r="P320" s="2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362</v>
      </c>
      <c r="B321" s="9" t="s">
        <v>28</v>
      </c>
      <c r="C321" s="4" t="s">
        <v>28</v>
      </c>
      <c r="D321" s="10" t="s">
        <v>18</v>
      </c>
      <c r="E321" s="10">
        <v>3036.94</v>
      </c>
      <c r="F321" s="5" t="str">
        <f>IF(DMart_Sales_data[[#This Row],[sales]]&gt;3000,"High Sales",IF(DMart_Sales_data[[#This Row],[sales]]&gt;1000,"Medium Sales","Low Sales"))</f>
        <v>High Sales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19</v>
      </c>
      <c r="L321" s="10" t="s">
        <v>15</v>
      </c>
      <c r="M321" s="10">
        <v>697.79</v>
      </c>
      <c r="N321" s="10" t="s">
        <v>40</v>
      </c>
      <c r="O321" s="12" t="s">
        <v>40</v>
      </c>
      <c r="P321" s="2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5" t="str">
        <f>IF(DMart_Sales_data[[#This Row],[sales]]&gt;3000,"High Sales",IF(DMart_Sales_data[[#This Row],[sales]]&gt;1000,"Medium Sales","Low Sales"))</f>
        <v>Medium Sales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31</v>
      </c>
      <c r="L322" s="15" t="s">
        <v>25</v>
      </c>
      <c r="M322" s="15">
        <v>226</v>
      </c>
      <c r="N322" s="10" t="s">
        <v>34</v>
      </c>
      <c r="O322" s="17" t="s">
        <v>57</v>
      </c>
      <c r="P322" s="2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364</v>
      </c>
      <c r="B323" s="9" t="s">
        <v>575</v>
      </c>
      <c r="C323" s="4" t="s">
        <v>575</v>
      </c>
      <c r="D323" s="10" t="s">
        <v>36</v>
      </c>
      <c r="E323" s="10">
        <v>1393.68</v>
      </c>
      <c r="F323" s="5" t="str">
        <f>IF(DMart_Sales_data[[#This Row],[sales]]&gt;3000,"High Sales",IF(DMart_Sales_data[[#This Row],[sales]]&gt;1000,"Medium Sales","Low Sales"))</f>
        <v>Medium Sales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19</v>
      </c>
      <c r="L323" s="10" t="s">
        <v>20</v>
      </c>
      <c r="M323" s="10">
        <v>126.14</v>
      </c>
      <c r="N323" s="10" t="s">
        <v>99</v>
      </c>
      <c r="O323" s="12" t="s">
        <v>99</v>
      </c>
      <c r="P323" s="2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365</v>
      </c>
      <c r="B324" s="14" t="s">
        <v>23</v>
      </c>
      <c r="C324" s="4" t="s">
        <v>23</v>
      </c>
      <c r="D324" s="15" t="s">
        <v>33</v>
      </c>
      <c r="E324" s="15">
        <v>4383.43</v>
      </c>
      <c r="F324" s="5" t="str">
        <f>IF(DMart_Sales_data[[#This Row],[sales]]&gt;3000,"High Sales",IF(DMart_Sales_data[[#This Row],[sales]]&gt;1000,"Medium Sales","Low Sales"))</f>
        <v>High Sales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25</v>
      </c>
      <c r="M324" s="15">
        <v>761.11</v>
      </c>
      <c r="N324" s="10" t="s">
        <v>40</v>
      </c>
      <c r="O324" s="17" t="s">
        <v>40</v>
      </c>
      <c r="P324" s="2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366</v>
      </c>
      <c r="B325" s="9" t="s">
        <v>28</v>
      </c>
      <c r="C325" s="4" t="s">
        <v>28</v>
      </c>
      <c r="D325" s="10" t="s">
        <v>24</v>
      </c>
      <c r="E325" s="10">
        <v>660.2</v>
      </c>
      <c r="F325" s="5" t="str">
        <f>IF(DMart_Sales_data[[#This Row],[sales]]&gt;3000,"High Sales",IF(DMart_Sales_data[[#This Row],[sales]]&gt;1000,"Medium Sales","Low Sales"))</f>
        <v>Low Sales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19</v>
      </c>
      <c r="L325" s="10" t="s">
        <v>20</v>
      </c>
      <c r="M325" s="10">
        <v>159.93</v>
      </c>
      <c r="N325" s="10" t="s">
        <v>78</v>
      </c>
      <c r="O325" s="12" t="s">
        <v>21</v>
      </c>
      <c r="P325" s="2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5" t="str">
        <f>IF(DMart_Sales_data[[#This Row],[sales]]&gt;3000,"High Sales",IF(DMart_Sales_data[[#This Row],[sales]]&gt;1000,"Medium Sales","Low Sales"))</f>
        <v>High Sales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31</v>
      </c>
      <c r="L326" s="15" t="s">
        <v>25</v>
      </c>
      <c r="M326" s="15">
        <v>797.25</v>
      </c>
      <c r="N326" s="10" t="s">
        <v>16</v>
      </c>
      <c r="O326" s="17" t="s">
        <v>94</v>
      </c>
      <c r="P326" s="2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368</v>
      </c>
      <c r="B327" s="9" t="s">
        <v>575</v>
      </c>
      <c r="C327" s="4" t="s">
        <v>575</v>
      </c>
      <c r="D327" s="10" t="s">
        <v>36</v>
      </c>
      <c r="E327" s="10">
        <v>2066.15</v>
      </c>
      <c r="F327" s="5" t="str">
        <f>IF(DMart_Sales_data[[#This Row],[sales]]&gt;3000,"High Sales",IF(DMart_Sales_data[[#This Row],[sales]]&gt;1000,"Medium Sales","Low Sales"))</f>
        <v>Medium Sales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31</v>
      </c>
      <c r="L327" s="10" t="s">
        <v>25</v>
      </c>
      <c r="M327" s="10">
        <v>117.23</v>
      </c>
      <c r="N327" s="10" t="s">
        <v>78</v>
      </c>
      <c r="O327" s="12" t="s">
        <v>54</v>
      </c>
      <c r="P327" s="2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369</v>
      </c>
      <c r="B328" s="14" t="s">
        <v>23</v>
      </c>
      <c r="C328" s="4" t="s">
        <v>23</v>
      </c>
      <c r="D328" s="15" t="s">
        <v>36</v>
      </c>
      <c r="E328" s="15">
        <v>1034.92</v>
      </c>
      <c r="F328" s="5" t="str">
        <f>IF(DMart_Sales_data[[#This Row],[sales]]&gt;3000,"High Sales",IF(DMart_Sales_data[[#This Row],[sales]]&gt;1000,"Medium Sales","Low Sales"))</f>
        <v>Medium Sales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31</v>
      </c>
      <c r="L328" s="15" t="s">
        <v>25</v>
      </c>
      <c r="M328" s="15">
        <v>100.03</v>
      </c>
      <c r="N328" s="10" t="s">
        <v>34</v>
      </c>
      <c r="O328" s="17" t="s">
        <v>34</v>
      </c>
      <c r="P328" s="2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5" t="str">
        <f>IF(DMart_Sales_data[[#This Row],[sales]]&gt;3000,"High Sales",IF(DMart_Sales_data[[#This Row],[sales]]&gt;1000,"Medium Sales","Low Sales"))</f>
        <v>Medium Sales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10" t="s">
        <v>40</v>
      </c>
      <c r="O329" s="12" t="s">
        <v>43</v>
      </c>
      <c r="P329" s="2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5" t="str">
        <f>IF(DMart_Sales_data[[#This Row],[sales]]&gt;3000,"High Sales",IF(DMart_Sales_data[[#This Row],[sales]]&gt;1000,"Medium Sales","Low Sales"))</f>
        <v>High Sales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31</v>
      </c>
      <c r="L330" s="15" t="s">
        <v>15</v>
      </c>
      <c r="M330" s="15">
        <v>1155.56</v>
      </c>
      <c r="N330" s="10" t="s">
        <v>34</v>
      </c>
      <c r="O330" s="17" t="s">
        <v>57</v>
      </c>
      <c r="P330" s="2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372</v>
      </c>
      <c r="B331" s="9" t="s">
        <v>575</v>
      </c>
      <c r="C331" s="4" t="s">
        <v>575</v>
      </c>
      <c r="D331" s="10" t="s">
        <v>13</v>
      </c>
      <c r="E331" s="10">
        <v>3929.89</v>
      </c>
      <c r="F331" s="5" t="str">
        <f>IF(DMart_Sales_data[[#This Row],[sales]]&gt;3000,"High Sales",IF(DMart_Sales_data[[#This Row],[sales]]&gt;1000,"Medium Sales","Low Sales"))</f>
        <v>High Sales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31</v>
      </c>
      <c r="L331" s="10" t="s">
        <v>25</v>
      </c>
      <c r="M331" s="10">
        <v>902.41</v>
      </c>
      <c r="N331" s="10" t="s">
        <v>78</v>
      </c>
      <c r="O331" s="12" t="s">
        <v>78</v>
      </c>
      <c r="P331" s="2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5" t="str">
        <f>IF(DMart_Sales_data[[#This Row],[sales]]&gt;3000,"High Sales",IF(DMart_Sales_data[[#This Row],[sales]]&gt;1000,"Medium Sales","Low Sales"))</f>
        <v>Low Sales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31</v>
      </c>
      <c r="L332" s="15" t="s">
        <v>20</v>
      </c>
      <c r="M332" s="15">
        <v>63.14</v>
      </c>
      <c r="N332" s="10" t="s">
        <v>78</v>
      </c>
      <c r="O332" s="17" t="s">
        <v>54</v>
      </c>
      <c r="P332" s="2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374</v>
      </c>
      <c r="B333" s="9" t="s">
        <v>28</v>
      </c>
      <c r="C333" s="4" t="s">
        <v>28</v>
      </c>
      <c r="D333" s="10" t="s">
        <v>36</v>
      </c>
      <c r="E333" s="10">
        <v>4262.21</v>
      </c>
      <c r="F333" s="5" t="str">
        <f>IF(DMart_Sales_data[[#This Row],[sales]]&gt;3000,"High Sales",IF(DMart_Sales_data[[#This Row],[sales]]&gt;1000,"Medium Sales","Low Sales"))</f>
        <v>High Sales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31</v>
      </c>
      <c r="L333" s="10" t="s">
        <v>15</v>
      </c>
      <c r="M333" s="10">
        <v>217.76</v>
      </c>
      <c r="N333" s="10" t="s">
        <v>16</v>
      </c>
      <c r="O333" s="12" t="s">
        <v>16</v>
      </c>
      <c r="P333" s="2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5" t="str">
        <f>IF(DMart_Sales_data[[#This Row],[sales]]&gt;3000,"High Sales",IF(DMart_Sales_data[[#This Row],[sales]]&gt;1000,"Medium Sales","Low Sales"))</f>
        <v>High Sales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19</v>
      </c>
      <c r="L334" s="15" t="s">
        <v>25</v>
      </c>
      <c r="M334" s="15">
        <v>925.54</v>
      </c>
      <c r="N334" s="10" t="s">
        <v>40</v>
      </c>
      <c r="O334" s="17" t="s">
        <v>43</v>
      </c>
      <c r="P334" s="2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376</v>
      </c>
      <c r="B335" s="9" t="s">
        <v>575</v>
      </c>
      <c r="C335" s="4" t="s">
        <v>575</v>
      </c>
      <c r="D335" s="10" t="s">
        <v>18</v>
      </c>
      <c r="E335" s="10">
        <v>1457.12</v>
      </c>
      <c r="F335" s="5" t="str">
        <f>IF(DMart_Sales_data[[#This Row],[sales]]&gt;3000,"High Sales",IF(DMart_Sales_data[[#This Row],[sales]]&gt;1000,"Medium Sales","Low Sales"))</f>
        <v>Medium Sales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31</v>
      </c>
      <c r="L335" s="10" t="s">
        <v>20</v>
      </c>
      <c r="M335" s="10">
        <v>388.34</v>
      </c>
      <c r="N335" s="10" t="s">
        <v>78</v>
      </c>
      <c r="O335" s="12" t="s">
        <v>54</v>
      </c>
      <c r="P335" s="2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377</v>
      </c>
      <c r="B336" s="14" t="s">
        <v>23</v>
      </c>
      <c r="C336" s="4" t="s">
        <v>23</v>
      </c>
      <c r="D336" s="15" t="s">
        <v>33</v>
      </c>
      <c r="E336" s="15">
        <v>1733.76</v>
      </c>
      <c r="F336" s="5" t="str">
        <f>IF(DMart_Sales_data[[#This Row],[sales]]&gt;3000,"High Sales",IF(DMart_Sales_data[[#This Row],[sales]]&gt;1000,"Medium Sales","Low Sales"))</f>
        <v>Medium Sales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19</v>
      </c>
      <c r="L336" s="15" t="s">
        <v>20</v>
      </c>
      <c r="M336" s="15">
        <v>117.57</v>
      </c>
      <c r="N336" s="10" t="s">
        <v>99</v>
      </c>
      <c r="O336" s="17" t="s">
        <v>99</v>
      </c>
      <c r="P336" s="2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378</v>
      </c>
      <c r="B337" s="9" t="s">
        <v>28</v>
      </c>
      <c r="C337" s="4" t="s">
        <v>28</v>
      </c>
      <c r="D337" s="10" t="s">
        <v>33</v>
      </c>
      <c r="E337" s="10">
        <v>718.92</v>
      </c>
      <c r="F337" s="5" t="str">
        <f>IF(DMart_Sales_data[[#This Row],[sales]]&gt;3000,"High Sales",IF(DMart_Sales_data[[#This Row],[sales]]&gt;1000,"Medium Sales","Low Sales"))</f>
        <v>Low Sales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20</v>
      </c>
      <c r="M337" s="10">
        <v>48.42</v>
      </c>
      <c r="N337" s="10" t="s">
        <v>99</v>
      </c>
      <c r="O337" s="12" t="s">
        <v>99</v>
      </c>
      <c r="P337" s="2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5" t="str">
        <f>IF(DMart_Sales_data[[#This Row],[sales]]&gt;3000,"High Sales",IF(DMart_Sales_data[[#This Row],[sales]]&gt;1000,"Medium Sales","Low Sales"))</f>
        <v>Medium Sales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19</v>
      </c>
      <c r="L338" s="15" t="s">
        <v>25</v>
      </c>
      <c r="M338" s="15">
        <v>536.41999999999996</v>
      </c>
      <c r="N338" s="10" t="s">
        <v>16</v>
      </c>
      <c r="O338" s="17" t="s">
        <v>16</v>
      </c>
      <c r="P338" s="2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380</v>
      </c>
      <c r="B339" s="9" t="s">
        <v>575</v>
      </c>
      <c r="C339" s="4" t="s">
        <v>575</v>
      </c>
      <c r="D339" s="10" t="s">
        <v>33</v>
      </c>
      <c r="E339" s="10">
        <v>3398.39</v>
      </c>
      <c r="F339" s="5" t="str">
        <f>IF(DMart_Sales_data[[#This Row],[sales]]&gt;3000,"High Sales",IF(DMart_Sales_data[[#This Row],[sales]]&gt;1000,"Medium Sales","Low Sales"))</f>
        <v>High Sales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19</v>
      </c>
      <c r="L339" s="10" t="s">
        <v>15</v>
      </c>
      <c r="M339" s="10">
        <v>370.75</v>
      </c>
      <c r="N339" s="10" t="s">
        <v>99</v>
      </c>
      <c r="O339" s="12" t="s">
        <v>62</v>
      </c>
      <c r="P339" s="2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381</v>
      </c>
      <c r="B340" s="14" t="s">
        <v>23</v>
      </c>
      <c r="C340" s="4" t="s">
        <v>23</v>
      </c>
      <c r="D340" s="15" t="s">
        <v>33</v>
      </c>
      <c r="E340" s="15">
        <v>1433.56</v>
      </c>
      <c r="F340" s="5" t="str">
        <f>IF(DMart_Sales_data[[#This Row],[sales]]&gt;3000,"High Sales",IF(DMart_Sales_data[[#This Row],[sales]]&gt;1000,"Medium Sales","Low Sales"))</f>
        <v>Medium Sales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19</v>
      </c>
      <c r="L340" s="15" t="s">
        <v>20</v>
      </c>
      <c r="M340" s="15">
        <v>310.11</v>
      </c>
      <c r="N340" s="10" t="s">
        <v>26</v>
      </c>
      <c r="O340" s="17" t="s">
        <v>47</v>
      </c>
      <c r="P340" s="2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5" t="str">
        <f>IF(DMart_Sales_data[[#This Row],[sales]]&gt;3000,"High Sales",IF(DMart_Sales_data[[#This Row],[sales]]&gt;1000,"Medium Sales","Low Sales"))</f>
        <v>Low Sales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19</v>
      </c>
      <c r="L341" s="10" t="s">
        <v>25</v>
      </c>
      <c r="M341" s="10">
        <v>25.28</v>
      </c>
      <c r="N341" s="10" t="s">
        <v>78</v>
      </c>
      <c r="O341" s="12" t="s">
        <v>54</v>
      </c>
      <c r="P341" s="2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5" t="str">
        <f>IF(DMart_Sales_data[[#This Row],[sales]]&gt;3000,"High Sales",IF(DMart_Sales_data[[#This Row],[sales]]&gt;1000,"Medium Sales","Low Sales"))</f>
        <v>Medium Sales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19</v>
      </c>
      <c r="L342" s="15" t="s">
        <v>25</v>
      </c>
      <c r="M342" s="15">
        <v>270.22000000000003</v>
      </c>
      <c r="N342" s="10" t="s">
        <v>34</v>
      </c>
      <c r="O342" s="17" t="s">
        <v>29</v>
      </c>
      <c r="P342" s="2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384</v>
      </c>
      <c r="B343" s="9" t="s">
        <v>575</v>
      </c>
      <c r="C343" s="4" t="s">
        <v>575</v>
      </c>
      <c r="D343" s="10" t="s">
        <v>24</v>
      </c>
      <c r="E343" s="10">
        <v>2320.5500000000002</v>
      </c>
      <c r="F343" s="5" t="str">
        <f>IF(DMart_Sales_data[[#This Row],[sales]]&gt;3000,"High Sales",IF(DMart_Sales_data[[#This Row],[sales]]&gt;1000,"Medium Sales","Low Sales"))</f>
        <v>Medium Sales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19</v>
      </c>
      <c r="L343" s="10" t="s">
        <v>25</v>
      </c>
      <c r="M343" s="10">
        <v>581.83000000000004</v>
      </c>
      <c r="N343" s="10" t="s">
        <v>78</v>
      </c>
      <c r="O343" s="12" t="s">
        <v>54</v>
      </c>
      <c r="P343" s="2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5" t="str">
        <f>IF(DMart_Sales_data[[#This Row],[sales]]&gt;3000,"High Sales",IF(DMart_Sales_data[[#This Row],[sales]]&gt;1000,"Medium Sales","Low Sales"))</f>
        <v>Medium Sales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25</v>
      </c>
      <c r="M344" s="15">
        <v>314.73</v>
      </c>
      <c r="N344" s="10" t="s">
        <v>34</v>
      </c>
      <c r="O344" s="17" t="s">
        <v>29</v>
      </c>
      <c r="P344" s="2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386</v>
      </c>
      <c r="B345" s="9" t="s">
        <v>28</v>
      </c>
      <c r="C345" s="4" t="s">
        <v>28</v>
      </c>
      <c r="D345" s="10" t="s">
        <v>13</v>
      </c>
      <c r="E345" s="10">
        <v>3450.74</v>
      </c>
      <c r="F345" s="5" t="str">
        <f>IF(DMart_Sales_data[[#This Row],[sales]]&gt;3000,"High Sales",IF(DMart_Sales_data[[#This Row],[sales]]&gt;1000,"Medium Sales","Low Sales"))</f>
        <v>High Sales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31</v>
      </c>
      <c r="L345" s="10" t="s">
        <v>25</v>
      </c>
      <c r="M345" s="10">
        <v>413.97</v>
      </c>
      <c r="N345" s="10" t="s">
        <v>16</v>
      </c>
      <c r="O345" s="12" t="s">
        <v>51</v>
      </c>
      <c r="P345" s="2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5" t="str">
        <f>IF(DMart_Sales_data[[#This Row],[sales]]&gt;3000,"High Sales",IF(DMart_Sales_data[[#This Row],[sales]]&gt;1000,"Medium Sales","Low Sales"))</f>
        <v>Low Sales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0" t="s">
        <v>16</v>
      </c>
      <c r="O346" s="17" t="s">
        <v>94</v>
      </c>
      <c r="P346" s="2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388</v>
      </c>
      <c r="B347" s="9" t="s">
        <v>575</v>
      </c>
      <c r="C347" s="4" t="s">
        <v>575</v>
      </c>
      <c r="D347" s="10" t="s">
        <v>18</v>
      </c>
      <c r="E347" s="10">
        <v>2401.7800000000002</v>
      </c>
      <c r="F347" s="5" t="str">
        <f>IF(DMart_Sales_data[[#This Row],[sales]]&gt;3000,"High Sales",IF(DMart_Sales_data[[#This Row],[sales]]&gt;1000,"Medium Sales","Low Sales"))</f>
        <v>Medium Sales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19</v>
      </c>
      <c r="L347" s="10" t="s">
        <v>15</v>
      </c>
      <c r="M347" s="10">
        <v>448.63</v>
      </c>
      <c r="N347" s="10" t="s">
        <v>34</v>
      </c>
      <c r="O347" s="12" t="s">
        <v>57</v>
      </c>
      <c r="P347" s="2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389</v>
      </c>
      <c r="B348" s="14" t="s">
        <v>23</v>
      </c>
      <c r="C348" s="4" t="s">
        <v>23</v>
      </c>
      <c r="D348" s="15" t="s">
        <v>24</v>
      </c>
      <c r="E348" s="15">
        <v>1405.18</v>
      </c>
      <c r="F348" s="5" t="str">
        <f>IF(DMart_Sales_data[[#This Row],[sales]]&gt;3000,"High Sales",IF(DMart_Sales_data[[#This Row],[sales]]&gt;1000,"Medium Sales","Low Sales"))</f>
        <v>Medium Sales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19</v>
      </c>
      <c r="L348" s="15" t="s">
        <v>25</v>
      </c>
      <c r="M348" s="15">
        <v>300.73</v>
      </c>
      <c r="N348" s="10" t="s">
        <v>16</v>
      </c>
      <c r="O348" s="17" t="s">
        <v>51</v>
      </c>
      <c r="P348" s="2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390</v>
      </c>
      <c r="B349" s="9" t="s">
        <v>28</v>
      </c>
      <c r="C349" s="4" t="s">
        <v>28</v>
      </c>
      <c r="D349" s="10" t="s">
        <v>13</v>
      </c>
      <c r="E349" s="10">
        <v>4745.05</v>
      </c>
      <c r="F349" s="5" t="str">
        <f>IF(DMart_Sales_data[[#This Row],[sales]]&gt;3000,"High Sales",IF(DMart_Sales_data[[#This Row],[sales]]&gt;1000,"Medium Sales","Low Sales"))</f>
        <v>High Sales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19</v>
      </c>
      <c r="L349" s="10" t="s">
        <v>15</v>
      </c>
      <c r="M349" s="10">
        <v>347.16</v>
      </c>
      <c r="N349" s="10" t="s">
        <v>40</v>
      </c>
      <c r="O349" s="12" t="s">
        <v>43</v>
      </c>
      <c r="P349" s="2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5" t="str">
        <f>IF(DMart_Sales_data[[#This Row],[sales]]&gt;3000,"High Sales",IF(DMart_Sales_data[[#This Row],[sales]]&gt;1000,"Medium Sales","Low Sales"))</f>
        <v>Medium Sales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25</v>
      </c>
      <c r="M350" s="15">
        <v>161.51</v>
      </c>
      <c r="N350" s="10" t="s">
        <v>16</v>
      </c>
      <c r="O350" s="17" t="s">
        <v>16</v>
      </c>
      <c r="P350" s="2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392</v>
      </c>
      <c r="B351" s="9" t="s">
        <v>575</v>
      </c>
      <c r="C351" s="4" t="s">
        <v>575</v>
      </c>
      <c r="D351" s="10" t="s">
        <v>13</v>
      </c>
      <c r="E351" s="10">
        <v>590.61</v>
      </c>
      <c r="F351" s="5" t="str">
        <f>IF(DMart_Sales_data[[#This Row],[sales]]&gt;3000,"High Sales",IF(DMart_Sales_data[[#This Row],[sales]]&gt;1000,"Medium Sales","Low Sales"))</f>
        <v>Low Sales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19</v>
      </c>
      <c r="L351" s="10" t="s">
        <v>20</v>
      </c>
      <c r="M351" s="10">
        <v>46.99</v>
      </c>
      <c r="N351" s="10" t="s">
        <v>99</v>
      </c>
      <c r="O351" s="12" t="s">
        <v>62</v>
      </c>
      <c r="P351" s="2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393</v>
      </c>
      <c r="B352" s="14" t="s">
        <v>23</v>
      </c>
      <c r="C352" s="4" t="s">
        <v>23</v>
      </c>
      <c r="D352" s="15" t="s">
        <v>18</v>
      </c>
      <c r="E352" s="15">
        <v>303.31</v>
      </c>
      <c r="F352" s="5" t="str">
        <f>IF(DMart_Sales_data[[#This Row],[sales]]&gt;3000,"High Sales",IF(DMart_Sales_data[[#This Row],[sales]]&gt;1000,"Medium Sales","Low Sales"))</f>
        <v>Low Sales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0" t="s">
        <v>26</v>
      </c>
      <c r="O352" s="17" t="s">
        <v>26</v>
      </c>
      <c r="P352" s="2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5" t="str">
        <f>IF(DMart_Sales_data[[#This Row],[sales]]&gt;3000,"High Sales",IF(DMart_Sales_data[[#This Row],[sales]]&gt;1000,"Medium Sales","Low Sales"))</f>
        <v>Medium Sales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19</v>
      </c>
      <c r="L353" s="10" t="s">
        <v>15</v>
      </c>
      <c r="M353" s="10">
        <v>289</v>
      </c>
      <c r="N353" s="10" t="s">
        <v>78</v>
      </c>
      <c r="O353" s="12" t="s">
        <v>78</v>
      </c>
      <c r="P353" s="2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5" t="str">
        <f>IF(DMart_Sales_data[[#This Row],[sales]]&gt;3000,"High Sales",IF(DMart_Sales_data[[#This Row],[sales]]&gt;1000,"Medium Sales","Low Sales"))</f>
        <v>Low Sales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19</v>
      </c>
      <c r="L354" s="15" t="s">
        <v>25</v>
      </c>
      <c r="M354" s="15">
        <v>251.49</v>
      </c>
      <c r="N354" s="10" t="s">
        <v>78</v>
      </c>
      <c r="O354" s="17" t="s">
        <v>54</v>
      </c>
      <c r="P354" s="2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396</v>
      </c>
      <c r="B355" s="9" t="s">
        <v>575</v>
      </c>
      <c r="C355" s="4" t="s">
        <v>575</v>
      </c>
      <c r="D355" s="10" t="s">
        <v>18</v>
      </c>
      <c r="E355" s="10">
        <v>3284.02</v>
      </c>
      <c r="F355" s="5" t="str">
        <f>IF(DMart_Sales_data[[#This Row],[sales]]&gt;3000,"High Sales",IF(DMart_Sales_data[[#This Row],[sales]]&gt;1000,"Medium Sales","Low Sales"))</f>
        <v>High Sales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25</v>
      </c>
      <c r="M355" s="10">
        <v>399.43</v>
      </c>
      <c r="N355" s="10" t="s">
        <v>99</v>
      </c>
      <c r="O355" s="12" t="s">
        <v>99</v>
      </c>
      <c r="P355" s="2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5" t="str">
        <f>IF(DMart_Sales_data[[#This Row],[sales]]&gt;3000,"High Sales",IF(DMart_Sales_data[[#This Row],[sales]]&gt;1000,"Medium Sales","Low Sales"))</f>
        <v>High Sales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0" t="s">
        <v>99</v>
      </c>
      <c r="O356" s="17" t="s">
        <v>99</v>
      </c>
      <c r="P356" s="2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398</v>
      </c>
      <c r="B357" s="9" t="s">
        <v>28</v>
      </c>
      <c r="C357" s="4" t="s">
        <v>28</v>
      </c>
      <c r="D357" s="10" t="s">
        <v>36</v>
      </c>
      <c r="E357" s="10">
        <v>1631.54</v>
      </c>
      <c r="F357" s="5" t="str">
        <f>IF(DMart_Sales_data[[#This Row],[sales]]&gt;3000,"High Sales",IF(DMart_Sales_data[[#This Row],[sales]]&gt;1000,"Medium Sales","Low Sales"))</f>
        <v>Medium Sales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20</v>
      </c>
      <c r="M357" s="10">
        <v>197.89</v>
      </c>
      <c r="N357" s="10" t="s">
        <v>16</v>
      </c>
      <c r="O357" s="12" t="s">
        <v>94</v>
      </c>
      <c r="P357" s="2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5" t="str">
        <f>IF(DMart_Sales_data[[#This Row],[sales]]&gt;3000,"High Sales",IF(DMart_Sales_data[[#This Row],[sales]]&gt;1000,"Medium Sales","Low Sales"))</f>
        <v>Medium Sales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0" t="s">
        <v>16</v>
      </c>
      <c r="O358" s="17" t="s">
        <v>51</v>
      </c>
      <c r="P358" s="2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400</v>
      </c>
      <c r="B359" s="9" t="s">
        <v>575</v>
      </c>
      <c r="C359" s="4" t="s">
        <v>575</v>
      </c>
      <c r="D359" s="10" t="s">
        <v>24</v>
      </c>
      <c r="E359" s="10">
        <v>3678.5</v>
      </c>
      <c r="F359" s="5" t="str">
        <f>IF(DMart_Sales_data[[#This Row],[sales]]&gt;3000,"High Sales",IF(DMart_Sales_data[[#This Row],[sales]]&gt;1000,"Medium Sales","Low Sales"))</f>
        <v>High Sales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19</v>
      </c>
      <c r="L359" s="10" t="s">
        <v>15</v>
      </c>
      <c r="M359" s="10">
        <v>743.04</v>
      </c>
      <c r="N359" s="10" t="s">
        <v>26</v>
      </c>
      <c r="O359" s="12" t="s">
        <v>26</v>
      </c>
      <c r="P359" s="2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401</v>
      </c>
      <c r="B360" s="14" t="s">
        <v>23</v>
      </c>
      <c r="C360" s="4" t="s">
        <v>23</v>
      </c>
      <c r="D360" s="15" t="s">
        <v>36</v>
      </c>
      <c r="E360" s="15">
        <v>2052.59</v>
      </c>
      <c r="F360" s="5" t="str">
        <f>IF(DMart_Sales_data[[#This Row],[sales]]&gt;3000,"High Sales",IF(DMart_Sales_data[[#This Row],[sales]]&gt;1000,"Medium Sales","Low Sales"))</f>
        <v>Medium Sales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19</v>
      </c>
      <c r="L360" s="15" t="s">
        <v>15</v>
      </c>
      <c r="M360" s="15">
        <v>315.05</v>
      </c>
      <c r="N360" s="10" t="s">
        <v>78</v>
      </c>
      <c r="O360" s="17" t="s">
        <v>78</v>
      </c>
      <c r="P360" s="2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402</v>
      </c>
      <c r="B361" s="9" t="s">
        <v>28</v>
      </c>
      <c r="C361" s="4" t="s">
        <v>28</v>
      </c>
      <c r="D361" s="10" t="s">
        <v>24</v>
      </c>
      <c r="E361" s="10">
        <v>425</v>
      </c>
      <c r="F361" s="5" t="str">
        <f>IF(DMart_Sales_data[[#This Row],[sales]]&gt;3000,"High Sales",IF(DMart_Sales_data[[#This Row],[sales]]&gt;1000,"Medium Sales","Low Sales"))</f>
        <v>Low Sales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31</v>
      </c>
      <c r="L361" s="10" t="s">
        <v>20</v>
      </c>
      <c r="M361" s="10">
        <v>88.73</v>
      </c>
      <c r="N361" s="10" t="s">
        <v>99</v>
      </c>
      <c r="O361" s="12" t="s">
        <v>99</v>
      </c>
      <c r="P361" s="2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5" t="str">
        <f>IF(DMart_Sales_data[[#This Row],[sales]]&gt;3000,"High Sales",IF(DMart_Sales_data[[#This Row],[sales]]&gt;1000,"Medium Sales","Low Sales"))</f>
        <v>Medium Sales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19</v>
      </c>
      <c r="L362" s="15" t="s">
        <v>20</v>
      </c>
      <c r="M362" s="15">
        <v>319.61</v>
      </c>
      <c r="N362" s="10" t="s">
        <v>78</v>
      </c>
      <c r="O362" s="17" t="s">
        <v>54</v>
      </c>
      <c r="P362" s="2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404</v>
      </c>
      <c r="B363" s="9" t="s">
        <v>575</v>
      </c>
      <c r="C363" s="4" t="s">
        <v>575</v>
      </c>
      <c r="D363" s="10" t="s">
        <v>36</v>
      </c>
      <c r="E363" s="10">
        <v>4427.0200000000004</v>
      </c>
      <c r="F363" s="5" t="str">
        <f>IF(DMart_Sales_data[[#This Row],[sales]]&gt;3000,"High Sales",IF(DMart_Sales_data[[#This Row],[sales]]&gt;1000,"Medium Sales","Low Sales"))</f>
        <v>High Sales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19</v>
      </c>
      <c r="L363" s="10" t="s">
        <v>25</v>
      </c>
      <c r="M363" s="10">
        <v>466.97</v>
      </c>
      <c r="N363" s="10" t="s">
        <v>26</v>
      </c>
      <c r="O363" s="12" t="s">
        <v>26</v>
      </c>
      <c r="P363" s="2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405</v>
      </c>
      <c r="B364" s="14" t="s">
        <v>23</v>
      </c>
      <c r="C364" s="4" t="s">
        <v>23</v>
      </c>
      <c r="D364" s="15" t="s">
        <v>36</v>
      </c>
      <c r="E364" s="15">
        <v>4139.95</v>
      </c>
      <c r="F364" s="5" t="str">
        <f>IF(DMart_Sales_data[[#This Row],[sales]]&gt;3000,"High Sales",IF(DMart_Sales_data[[#This Row],[sales]]&gt;1000,"Medium Sales","Low Sales"))</f>
        <v>High Sales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19</v>
      </c>
      <c r="L364" s="15" t="s">
        <v>15</v>
      </c>
      <c r="M364" s="15">
        <v>843.52</v>
      </c>
      <c r="N364" s="10" t="s">
        <v>99</v>
      </c>
      <c r="O364" s="17" t="s">
        <v>62</v>
      </c>
      <c r="P364" s="2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5" t="str">
        <f>IF(DMart_Sales_data[[#This Row],[sales]]&gt;3000,"High Sales",IF(DMart_Sales_data[[#This Row],[sales]]&gt;1000,"Medium Sales","Low Sales"))</f>
        <v>Low Sales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19</v>
      </c>
      <c r="L365" s="10" t="s">
        <v>25</v>
      </c>
      <c r="M365" s="10">
        <v>156.33000000000001</v>
      </c>
      <c r="N365" s="10" t="s">
        <v>78</v>
      </c>
      <c r="O365" s="12" t="s">
        <v>21</v>
      </c>
      <c r="P365" s="2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5" t="str">
        <f>IF(DMart_Sales_data[[#This Row],[sales]]&gt;3000,"High Sales",IF(DMart_Sales_data[[#This Row],[sales]]&gt;1000,"Medium Sales","Low Sales"))</f>
        <v>Medium Sales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19</v>
      </c>
      <c r="L366" s="15" t="s">
        <v>20</v>
      </c>
      <c r="M366" s="15">
        <v>298.56</v>
      </c>
      <c r="N366" s="10" t="s">
        <v>26</v>
      </c>
      <c r="O366" s="17" t="s">
        <v>26</v>
      </c>
      <c r="P366" s="2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408</v>
      </c>
      <c r="B367" s="9" t="s">
        <v>575</v>
      </c>
      <c r="C367" s="4" t="s">
        <v>575</v>
      </c>
      <c r="D367" s="10" t="s">
        <v>18</v>
      </c>
      <c r="E367" s="10">
        <v>3868.91</v>
      </c>
      <c r="F367" s="5" t="str">
        <f>IF(DMart_Sales_data[[#This Row],[sales]]&gt;3000,"High Sales",IF(DMart_Sales_data[[#This Row],[sales]]&gt;1000,"Medium Sales","Low Sales"))</f>
        <v>High Sales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31</v>
      </c>
      <c r="L367" s="10" t="s">
        <v>15</v>
      </c>
      <c r="M367" s="10">
        <v>482.97</v>
      </c>
      <c r="N367" s="10" t="s">
        <v>16</v>
      </c>
      <c r="O367" s="12" t="s">
        <v>94</v>
      </c>
      <c r="P367" s="2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5" t="str">
        <f>IF(DMart_Sales_data[[#This Row],[sales]]&gt;3000,"High Sales",IF(DMart_Sales_data[[#This Row],[sales]]&gt;1000,"Medium Sales","Low Sales"))</f>
        <v>Medium Sales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0" t="s">
        <v>34</v>
      </c>
      <c r="O368" s="17" t="s">
        <v>57</v>
      </c>
      <c r="P368" s="2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410</v>
      </c>
      <c r="B369" s="9" t="s">
        <v>28</v>
      </c>
      <c r="C369" s="4" t="s">
        <v>28</v>
      </c>
      <c r="D369" s="10" t="s">
        <v>13</v>
      </c>
      <c r="E369" s="10">
        <v>3823.84</v>
      </c>
      <c r="F369" s="5" t="str">
        <f>IF(DMart_Sales_data[[#This Row],[sales]]&gt;3000,"High Sales",IF(DMart_Sales_data[[#This Row],[sales]]&gt;1000,"Medium Sales","Low Sales"))</f>
        <v>High Sales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19</v>
      </c>
      <c r="L369" s="10" t="s">
        <v>15</v>
      </c>
      <c r="M369" s="10">
        <v>664.27</v>
      </c>
      <c r="N369" s="10" t="s">
        <v>99</v>
      </c>
      <c r="O369" s="12" t="s">
        <v>62</v>
      </c>
      <c r="P369" s="2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5" t="str">
        <f>IF(DMart_Sales_data[[#This Row],[sales]]&gt;3000,"High Sales",IF(DMart_Sales_data[[#This Row],[sales]]&gt;1000,"Medium Sales","Low Sales"))</f>
        <v>Medium Sales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19</v>
      </c>
      <c r="L370" s="15" t="s">
        <v>15</v>
      </c>
      <c r="M370" s="15">
        <v>278.14999999999998</v>
      </c>
      <c r="N370" s="10" t="s">
        <v>78</v>
      </c>
      <c r="O370" s="17" t="s">
        <v>54</v>
      </c>
      <c r="P370" s="2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412</v>
      </c>
      <c r="B371" s="9" t="s">
        <v>575</v>
      </c>
      <c r="C371" s="4" t="s">
        <v>575</v>
      </c>
      <c r="D371" s="10" t="s">
        <v>36</v>
      </c>
      <c r="E371" s="10">
        <v>4768.22</v>
      </c>
      <c r="F371" s="5" t="str">
        <f>IF(DMart_Sales_data[[#This Row],[sales]]&gt;3000,"High Sales",IF(DMart_Sales_data[[#This Row],[sales]]&gt;1000,"Medium Sales","Low Sales"))</f>
        <v>High Sales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25</v>
      </c>
      <c r="M371" s="10">
        <v>354.91</v>
      </c>
      <c r="N371" s="10" t="s">
        <v>99</v>
      </c>
      <c r="O371" s="12" t="s">
        <v>64</v>
      </c>
      <c r="P371" s="2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413</v>
      </c>
      <c r="B372" s="14" t="s">
        <v>23</v>
      </c>
      <c r="C372" s="4" t="s">
        <v>23</v>
      </c>
      <c r="D372" s="15" t="s">
        <v>13</v>
      </c>
      <c r="E372" s="15">
        <v>3939.68</v>
      </c>
      <c r="F372" s="5" t="str">
        <f>IF(DMart_Sales_data[[#This Row],[sales]]&gt;3000,"High Sales",IF(DMart_Sales_data[[#This Row],[sales]]&gt;1000,"Medium Sales","Low Sales"))</f>
        <v>High Sales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0" t="s">
        <v>40</v>
      </c>
      <c r="O372" s="17" t="s">
        <v>67</v>
      </c>
      <c r="P372" s="2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414</v>
      </c>
      <c r="B373" s="9" t="s">
        <v>28</v>
      </c>
      <c r="C373" s="4" t="s">
        <v>28</v>
      </c>
      <c r="D373" s="10" t="s">
        <v>13</v>
      </c>
      <c r="E373" s="10">
        <v>1067.52</v>
      </c>
      <c r="F373" s="5" t="str">
        <f>IF(DMart_Sales_data[[#This Row],[sales]]&gt;3000,"High Sales",IF(DMart_Sales_data[[#This Row],[sales]]&gt;1000,"Medium Sales","Low Sales"))</f>
        <v>Medium Sales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31</v>
      </c>
      <c r="L373" s="10" t="s">
        <v>20</v>
      </c>
      <c r="M373" s="10">
        <v>318.77</v>
      </c>
      <c r="N373" s="10" t="s">
        <v>40</v>
      </c>
      <c r="O373" s="12" t="s">
        <v>40</v>
      </c>
      <c r="P373" s="2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5" t="str">
        <f>IF(DMart_Sales_data[[#This Row],[sales]]&gt;3000,"High Sales",IF(DMart_Sales_data[[#This Row],[sales]]&gt;1000,"Medium Sales","Low Sales"))</f>
        <v>Medium Sales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31</v>
      </c>
      <c r="L374" s="15" t="s">
        <v>25</v>
      </c>
      <c r="M374" s="15">
        <v>455.08</v>
      </c>
      <c r="N374" s="10" t="s">
        <v>16</v>
      </c>
      <c r="O374" s="17" t="s">
        <v>16</v>
      </c>
      <c r="P374" s="2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416</v>
      </c>
      <c r="B375" s="9" t="s">
        <v>575</v>
      </c>
      <c r="C375" s="4" t="s">
        <v>575</v>
      </c>
      <c r="D375" s="10" t="s">
        <v>13</v>
      </c>
      <c r="E375" s="10">
        <v>654.17999999999995</v>
      </c>
      <c r="F375" s="5" t="str">
        <f>IF(DMart_Sales_data[[#This Row],[sales]]&gt;3000,"High Sales",IF(DMart_Sales_data[[#This Row],[sales]]&gt;1000,"Medium Sales","Low Sales"))</f>
        <v>Low Sales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31</v>
      </c>
      <c r="L375" s="10" t="s">
        <v>15</v>
      </c>
      <c r="M375" s="10">
        <v>116.53</v>
      </c>
      <c r="N375" s="10" t="s">
        <v>34</v>
      </c>
      <c r="O375" s="12" t="s">
        <v>34</v>
      </c>
      <c r="P375" s="2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417</v>
      </c>
      <c r="B376" s="14" t="s">
        <v>23</v>
      </c>
      <c r="C376" s="4" t="s">
        <v>23</v>
      </c>
      <c r="D376" s="15" t="s">
        <v>36</v>
      </c>
      <c r="E376" s="15">
        <v>1871.03</v>
      </c>
      <c r="F376" s="5" t="str">
        <f>IF(DMart_Sales_data[[#This Row],[sales]]&gt;3000,"High Sales",IF(DMart_Sales_data[[#This Row],[sales]]&gt;1000,"Medium Sales","Low Sales"))</f>
        <v>Medium Sales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25</v>
      </c>
      <c r="M376" s="15">
        <v>181.06</v>
      </c>
      <c r="N376" s="10" t="s">
        <v>99</v>
      </c>
      <c r="O376" s="17" t="s">
        <v>99</v>
      </c>
      <c r="P376" s="2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5" t="str">
        <f>IF(DMart_Sales_data[[#This Row],[sales]]&gt;3000,"High Sales",IF(DMart_Sales_data[[#This Row],[sales]]&gt;1000,"Medium Sales","Low Sales"))</f>
        <v>High Sales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19</v>
      </c>
      <c r="L377" s="10" t="s">
        <v>25</v>
      </c>
      <c r="M377" s="10">
        <v>736.04</v>
      </c>
      <c r="N377" s="10" t="s">
        <v>99</v>
      </c>
      <c r="O377" s="12" t="s">
        <v>64</v>
      </c>
      <c r="P377" s="2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5" t="str">
        <f>IF(DMart_Sales_data[[#This Row],[sales]]&gt;3000,"High Sales",IF(DMart_Sales_data[[#This Row],[sales]]&gt;1000,"Medium Sales","Low Sales"))</f>
        <v>Medium Sales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0" t="s">
        <v>40</v>
      </c>
      <c r="O378" s="17" t="s">
        <v>40</v>
      </c>
      <c r="P378" s="2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420</v>
      </c>
      <c r="B379" s="9" t="s">
        <v>575</v>
      </c>
      <c r="C379" s="4" t="s">
        <v>575</v>
      </c>
      <c r="D379" s="10" t="s">
        <v>33</v>
      </c>
      <c r="E379" s="10">
        <v>3318.12</v>
      </c>
      <c r="F379" s="5" t="str">
        <f>IF(DMart_Sales_data[[#This Row],[sales]]&gt;3000,"High Sales",IF(DMart_Sales_data[[#This Row],[sales]]&gt;1000,"Medium Sales","Low Sales"))</f>
        <v>High Sales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19</v>
      </c>
      <c r="L379" s="10" t="s">
        <v>20</v>
      </c>
      <c r="M379" s="10">
        <v>635.94000000000005</v>
      </c>
      <c r="N379" s="10" t="s">
        <v>26</v>
      </c>
      <c r="O379" s="12" t="s">
        <v>47</v>
      </c>
      <c r="P379" s="2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5" t="str">
        <f>IF(DMart_Sales_data[[#This Row],[sales]]&gt;3000,"High Sales",IF(DMart_Sales_data[[#This Row],[sales]]&gt;1000,"Medium Sales","Low Sales"))</f>
        <v>Medium Sales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0" t="s">
        <v>99</v>
      </c>
      <c r="O380" s="17" t="s">
        <v>64</v>
      </c>
      <c r="P380" s="2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422</v>
      </c>
      <c r="B381" s="9" t="s">
        <v>28</v>
      </c>
      <c r="C381" s="4" t="s">
        <v>28</v>
      </c>
      <c r="D381" s="10" t="s">
        <v>33</v>
      </c>
      <c r="E381" s="10">
        <v>3633.91</v>
      </c>
      <c r="F381" s="5" t="str">
        <f>IF(DMart_Sales_data[[#This Row],[sales]]&gt;3000,"High Sales",IF(DMart_Sales_data[[#This Row],[sales]]&gt;1000,"Medium Sales","Low Sales"))</f>
        <v>High Sales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10" t="s">
        <v>99</v>
      </c>
      <c r="O381" s="12" t="s">
        <v>64</v>
      </c>
      <c r="P381" s="2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5" t="str">
        <f>IF(DMart_Sales_data[[#This Row],[sales]]&gt;3000,"High Sales",IF(DMart_Sales_data[[#This Row],[sales]]&gt;1000,"Medium Sales","Low Sales"))</f>
        <v>Medium Sales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20</v>
      </c>
      <c r="M382" s="15">
        <v>477.12</v>
      </c>
      <c r="N382" s="10" t="s">
        <v>34</v>
      </c>
      <c r="O382" s="17" t="s">
        <v>34</v>
      </c>
      <c r="P382" s="2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424</v>
      </c>
      <c r="B383" s="9" t="s">
        <v>575</v>
      </c>
      <c r="C383" s="4" t="s">
        <v>575</v>
      </c>
      <c r="D383" s="10" t="s">
        <v>36</v>
      </c>
      <c r="E383" s="10">
        <v>3973.36</v>
      </c>
      <c r="F383" s="5" t="str">
        <f>IF(DMart_Sales_data[[#This Row],[sales]]&gt;3000,"High Sales",IF(DMart_Sales_data[[#This Row],[sales]]&gt;1000,"Medium Sales","Low Sales"))</f>
        <v>High Sales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10" t="s">
        <v>78</v>
      </c>
      <c r="O383" s="12" t="s">
        <v>78</v>
      </c>
      <c r="P383" s="2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425</v>
      </c>
      <c r="B384" s="14" t="s">
        <v>23</v>
      </c>
      <c r="C384" s="4" t="s">
        <v>23</v>
      </c>
      <c r="D384" s="15" t="s">
        <v>36</v>
      </c>
      <c r="E384" s="15">
        <v>769.78</v>
      </c>
      <c r="F384" s="5" t="str">
        <f>IF(DMart_Sales_data[[#This Row],[sales]]&gt;3000,"High Sales",IF(DMart_Sales_data[[#This Row],[sales]]&gt;1000,"Medium Sales","Low Sales"))</f>
        <v>Low Sales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19</v>
      </c>
      <c r="L384" s="15" t="s">
        <v>20</v>
      </c>
      <c r="M384" s="15">
        <v>96.16</v>
      </c>
      <c r="N384" s="10" t="s">
        <v>26</v>
      </c>
      <c r="O384" s="17" t="s">
        <v>38</v>
      </c>
      <c r="P384" s="2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426</v>
      </c>
      <c r="B385" s="9" t="s">
        <v>28</v>
      </c>
      <c r="C385" s="4" t="s">
        <v>28</v>
      </c>
      <c r="D385" s="10" t="s">
        <v>36</v>
      </c>
      <c r="E385" s="10">
        <v>1873.69</v>
      </c>
      <c r="F385" s="5" t="str">
        <f>IF(DMart_Sales_data[[#This Row],[sales]]&gt;3000,"High Sales",IF(DMart_Sales_data[[#This Row],[sales]]&gt;1000,"Medium Sales","Low Sales"))</f>
        <v>Medium Sales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19</v>
      </c>
      <c r="L385" s="10" t="s">
        <v>25</v>
      </c>
      <c r="M385" s="10">
        <v>274.62</v>
      </c>
      <c r="N385" s="10" t="s">
        <v>78</v>
      </c>
      <c r="O385" s="12" t="s">
        <v>54</v>
      </c>
      <c r="P385" s="2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5" t="str">
        <f>IF(DMart_Sales_data[[#This Row],[sales]]&gt;3000,"High Sales",IF(DMart_Sales_data[[#This Row],[sales]]&gt;1000,"Medium Sales","Low Sales"))</f>
        <v>Medium Sales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19</v>
      </c>
      <c r="L386" s="15" t="s">
        <v>20</v>
      </c>
      <c r="M386" s="15">
        <v>268.52999999999997</v>
      </c>
      <c r="N386" s="10" t="s">
        <v>16</v>
      </c>
      <c r="O386" s="17" t="s">
        <v>16</v>
      </c>
      <c r="P386" s="2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428</v>
      </c>
      <c r="B387" s="9" t="s">
        <v>575</v>
      </c>
      <c r="C387" s="4" t="s">
        <v>575</v>
      </c>
      <c r="D387" s="10" t="s">
        <v>13</v>
      </c>
      <c r="E387" s="10">
        <v>2176.84</v>
      </c>
      <c r="F387" s="5" t="str">
        <f>IF(DMart_Sales_data[[#This Row],[sales]]&gt;3000,"High Sales",IF(DMart_Sales_data[[#This Row],[sales]]&gt;1000,"Medium Sales","Low Sales"))</f>
        <v>Medium Sales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19</v>
      </c>
      <c r="L387" s="10" t="s">
        <v>25</v>
      </c>
      <c r="M387" s="10">
        <v>223.02</v>
      </c>
      <c r="N387" s="10" t="s">
        <v>78</v>
      </c>
      <c r="O387" s="12" t="s">
        <v>78</v>
      </c>
      <c r="P387" s="2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429</v>
      </c>
      <c r="B388" s="14" t="s">
        <v>23</v>
      </c>
      <c r="C388" s="4" t="s">
        <v>23</v>
      </c>
      <c r="D388" s="15" t="s">
        <v>13</v>
      </c>
      <c r="E388" s="15">
        <v>2222.16</v>
      </c>
      <c r="F388" s="5" t="str">
        <f>IF(DMart_Sales_data[[#This Row],[sales]]&gt;3000,"High Sales",IF(DMart_Sales_data[[#This Row],[sales]]&gt;1000,"Medium Sales","Low Sales"))</f>
        <v>Medium Sales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31</v>
      </c>
      <c r="L388" s="15" t="s">
        <v>20</v>
      </c>
      <c r="M388" s="15">
        <v>234.09</v>
      </c>
      <c r="N388" s="10" t="s">
        <v>16</v>
      </c>
      <c r="O388" s="17" t="s">
        <v>16</v>
      </c>
      <c r="P388" s="2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5" t="str">
        <f>IF(DMart_Sales_data[[#This Row],[sales]]&gt;3000,"High Sales",IF(DMart_Sales_data[[#This Row],[sales]]&gt;1000,"Medium Sales","Low Sales"))</f>
        <v>Medium Sales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31</v>
      </c>
      <c r="L389" s="10" t="s">
        <v>25</v>
      </c>
      <c r="M389" s="10">
        <v>190.23</v>
      </c>
      <c r="N389" s="10" t="s">
        <v>34</v>
      </c>
      <c r="O389" s="12" t="s">
        <v>29</v>
      </c>
      <c r="P389" s="2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5" t="str">
        <f>IF(DMart_Sales_data[[#This Row],[sales]]&gt;3000,"High Sales",IF(DMart_Sales_data[[#This Row],[sales]]&gt;1000,"Medium Sales","Low Sales"))</f>
        <v>High Sales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20</v>
      </c>
      <c r="M390" s="15">
        <v>666.29</v>
      </c>
      <c r="N390" s="10" t="s">
        <v>16</v>
      </c>
      <c r="O390" s="17" t="s">
        <v>94</v>
      </c>
      <c r="P390" s="2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432</v>
      </c>
      <c r="B391" s="9" t="s">
        <v>575</v>
      </c>
      <c r="C391" s="4" t="s">
        <v>575</v>
      </c>
      <c r="D391" s="10" t="s">
        <v>36</v>
      </c>
      <c r="E391" s="10">
        <v>1046.47</v>
      </c>
      <c r="F391" s="5" t="str">
        <f>IF(DMart_Sales_data[[#This Row],[sales]]&gt;3000,"High Sales",IF(DMart_Sales_data[[#This Row],[sales]]&gt;1000,"Medium Sales","Low Sales"))</f>
        <v>Medium Sales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19</v>
      </c>
      <c r="L391" s="10" t="s">
        <v>25</v>
      </c>
      <c r="M391" s="10">
        <v>233.82</v>
      </c>
      <c r="N391" s="10" t="s">
        <v>26</v>
      </c>
      <c r="O391" s="12" t="s">
        <v>26</v>
      </c>
      <c r="P391" s="2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5" t="str">
        <f>IF(DMart_Sales_data[[#This Row],[sales]]&gt;3000,"High Sales",IF(DMart_Sales_data[[#This Row],[sales]]&gt;1000,"Medium Sales","Low Sales"))</f>
        <v>High Sales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19</v>
      </c>
      <c r="L392" s="15" t="s">
        <v>15</v>
      </c>
      <c r="M392" s="15">
        <v>447.64</v>
      </c>
      <c r="N392" s="10" t="s">
        <v>34</v>
      </c>
      <c r="O392" s="17" t="s">
        <v>57</v>
      </c>
      <c r="P392" s="2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434</v>
      </c>
      <c r="B393" s="9" t="s">
        <v>28</v>
      </c>
      <c r="C393" s="4" t="s">
        <v>28</v>
      </c>
      <c r="D393" s="10" t="s">
        <v>13</v>
      </c>
      <c r="E393" s="10">
        <v>2803.77</v>
      </c>
      <c r="F393" s="5" t="str">
        <f>IF(DMart_Sales_data[[#This Row],[sales]]&gt;3000,"High Sales",IF(DMart_Sales_data[[#This Row],[sales]]&gt;1000,"Medium Sales","Low Sales"))</f>
        <v>Medium Sales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20</v>
      </c>
      <c r="M393" s="10">
        <v>632.89</v>
      </c>
      <c r="N393" s="10" t="s">
        <v>99</v>
      </c>
      <c r="O393" s="12" t="s">
        <v>62</v>
      </c>
      <c r="P393" s="2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5" t="str">
        <f>IF(DMart_Sales_data[[#This Row],[sales]]&gt;3000,"High Sales",IF(DMart_Sales_data[[#This Row],[sales]]&gt;1000,"Medium Sales","Low Sales"))</f>
        <v>Medium Sales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20</v>
      </c>
      <c r="M394" s="15">
        <v>513.26</v>
      </c>
      <c r="N394" s="10" t="s">
        <v>40</v>
      </c>
      <c r="O394" s="17" t="s">
        <v>67</v>
      </c>
      <c r="P394" s="2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436</v>
      </c>
      <c r="B395" s="9" t="s">
        <v>575</v>
      </c>
      <c r="C395" s="4" t="s">
        <v>575</v>
      </c>
      <c r="D395" s="10" t="s">
        <v>36</v>
      </c>
      <c r="E395" s="10">
        <v>3204.29</v>
      </c>
      <c r="F395" s="5" t="str">
        <f>IF(DMart_Sales_data[[#This Row],[sales]]&gt;3000,"High Sales",IF(DMart_Sales_data[[#This Row],[sales]]&gt;1000,"Medium Sales","Low Sales"))</f>
        <v>High Sales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25</v>
      </c>
      <c r="M395" s="10">
        <v>431.14</v>
      </c>
      <c r="N395" s="10" t="s">
        <v>99</v>
      </c>
      <c r="O395" s="12" t="s">
        <v>62</v>
      </c>
      <c r="P395" s="2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437</v>
      </c>
      <c r="B396" s="14" t="s">
        <v>23</v>
      </c>
      <c r="C396" s="4" t="s">
        <v>23</v>
      </c>
      <c r="D396" s="15" t="s">
        <v>33</v>
      </c>
      <c r="E396" s="15">
        <v>4282.3</v>
      </c>
      <c r="F396" s="5" t="str">
        <f>IF(DMart_Sales_data[[#This Row],[sales]]&gt;3000,"High Sales",IF(DMart_Sales_data[[#This Row],[sales]]&gt;1000,"Medium Sales","Low Sales"))</f>
        <v>High Sales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19</v>
      </c>
      <c r="L396" s="15" t="s">
        <v>20</v>
      </c>
      <c r="M396" s="15">
        <v>275.87</v>
      </c>
      <c r="N396" s="10" t="s">
        <v>34</v>
      </c>
      <c r="O396" s="17" t="s">
        <v>29</v>
      </c>
      <c r="P396" s="2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438</v>
      </c>
      <c r="B397" s="9" t="s">
        <v>28</v>
      </c>
      <c r="C397" s="4" t="s">
        <v>28</v>
      </c>
      <c r="D397" s="10" t="s">
        <v>36</v>
      </c>
      <c r="E397" s="10">
        <v>2386.5300000000002</v>
      </c>
      <c r="F397" s="5" t="str">
        <f>IF(DMart_Sales_data[[#This Row],[sales]]&gt;3000,"High Sales",IF(DMart_Sales_data[[#This Row],[sales]]&gt;1000,"Medium Sales","Low Sales"))</f>
        <v>Medium Sales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19</v>
      </c>
      <c r="L397" s="10" t="s">
        <v>20</v>
      </c>
      <c r="M397" s="10">
        <v>547.59</v>
      </c>
      <c r="N397" s="10" t="s">
        <v>26</v>
      </c>
      <c r="O397" s="12" t="s">
        <v>47</v>
      </c>
      <c r="P397" s="2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5" t="str">
        <f>IF(DMart_Sales_data[[#This Row],[sales]]&gt;3000,"High Sales",IF(DMart_Sales_data[[#This Row],[sales]]&gt;1000,"Medium Sales","Low Sales"))</f>
        <v>High Sales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19</v>
      </c>
      <c r="L398" s="15" t="s">
        <v>20</v>
      </c>
      <c r="M398" s="15">
        <v>367.48</v>
      </c>
      <c r="N398" s="10" t="s">
        <v>78</v>
      </c>
      <c r="O398" s="17" t="s">
        <v>21</v>
      </c>
      <c r="P398" s="2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440</v>
      </c>
      <c r="B399" s="9" t="s">
        <v>575</v>
      </c>
      <c r="C399" s="4" t="s">
        <v>575</v>
      </c>
      <c r="D399" s="10" t="s">
        <v>13</v>
      </c>
      <c r="E399" s="10">
        <v>559.61</v>
      </c>
      <c r="F399" s="5" t="str">
        <f>IF(DMart_Sales_data[[#This Row],[sales]]&gt;3000,"High Sales",IF(DMart_Sales_data[[#This Row],[sales]]&gt;1000,"Medium Sales","Low Sales"))</f>
        <v>Low Sales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31</v>
      </c>
      <c r="L399" s="10" t="s">
        <v>20</v>
      </c>
      <c r="M399" s="10">
        <v>66.31</v>
      </c>
      <c r="N399" s="10" t="s">
        <v>26</v>
      </c>
      <c r="O399" s="12" t="s">
        <v>38</v>
      </c>
      <c r="P399" s="2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441</v>
      </c>
      <c r="B400" s="14" t="s">
        <v>23</v>
      </c>
      <c r="C400" s="4" t="s">
        <v>23</v>
      </c>
      <c r="D400" s="15" t="s">
        <v>18</v>
      </c>
      <c r="E400" s="15">
        <v>3300.11</v>
      </c>
      <c r="F400" s="5" t="str">
        <f>IF(DMart_Sales_data[[#This Row],[sales]]&gt;3000,"High Sales",IF(DMart_Sales_data[[#This Row],[sales]]&gt;1000,"Medium Sales","Low Sales"))</f>
        <v>High Sales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20</v>
      </c>
      <c r="M400" s="15">
        <v>653.08000000000004</v>
      </c>
      <c r="N400" s="10" t="s">
        <v>34</v>
      </c>
      <c r="O400" s="17" t="s">
        <v>29</v>
      </c>
      <c r="P400" s="2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5" t="str">
        <f>IF(DMart_Sales_data[[#This Row],[sales]]&gt;3000,"High Sales",IF(DMart_Sales_data[[#This Row],[sales]]&gt;1000,"Medium Sales","Low Sales"))</f>
        <v>Medium Sales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19</v>
      </c>
      <c r="L401" s="10" t="s">
        <v>25</v>
      </c>
      <c r="M401" s="10">
        <v>484.92</v>
      </c>
      <c r="N401" s="10" t="s">
        <v>16</v>
      </c>
      <c r="O401" s="12" t="s">
        <v>51</v>
      </c>
      <c r="P401" s="2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5" t="str">
        <f>IF(DMart_Sales_data[[#This Row],[sales]]&gt;3000,"High Sales",IF(DMart_Sales_data[[#This Row],[sales]]&gt;1000,"Medium Sales","Low Sales"))</f>
        <v>Medium Sales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20</v>
      </c>
      <c r="M402" s="15">
        <v>476.38</v>
      </c>
      <c r="N402" s="10" t="s">
        <v>78</v>
      </c>
      <c r="O402" s="17" t="s">
        <v>54</v>
      </c>
      <c r="P402" s="2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444</v>
      </c>
      <c r="B403" s="9" t="s">
        <v>575</v>
      </c>
      <c r="C403" s="4" t="s">
        <v>575</v>
      </c>
      <c r="D403" s="10" t="s">
        <v>18</v>
      </c>
      <c r="E403" s="10">
        <v>2898</v>
      </c>
      <c r="F403" s="5" t="str">
        <f>IF(DMart_Sales_data[[#This Row],[sales]]&gt;3000,"High Sales",IF(DMart_Sales_data[[#This Row],[sales]]&gt;1000,"Medium Sales","Low Sales"))</f>
        <v>Medium Sales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31</v>
      </c>
      <c r="L403" s="10" t="s">
        <v>15</v>
      </c>
      <c r="M403" s="10">
        <v>339.95</v>
      </c>
      <c r="N403" s="10" t="s">
        <v>40</v>
      </c>
      <c r="O403" s="12" t="s">
        <v>67</v>
      </c>
      <c r="P403" s="2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5" t="str">
        <f>IF(DMart_Sales_data[[#This Row],[sales]]&gt;3000,"High Sales",IF(DMart_Sales_data[[#This Row],[sales]]&gt;1000,"Medium Sales","Low Sales"))</f>
        <v>Medium Sales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0" t="s">
        <v>78</v>
      </c>
      <c r="O404" s="17" t="s">
        <v>78</v>
      </c>
      <c r="P404" s="2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446</v>
      </c>
      <c r="B405" s="9" t="s">
        <v>28</v>
      </c>
      <c r="C405" s="4" t="s">
        <v>28</v>
      </c>
      <c r="D405" s="10" t="s">
        <v>13</v>
      </c>
      <c r="E405" s="10">
        <v>1970.72</v>
      </c>
      <c r="F405" s="5" t="str">
        <f>IF(DMart_Sales_data[[#This Row],[sales]]&gt;3000,"High Sales",IF(DMart_Sales_data[[#This Row],[sales]]&gt;1000,"Medium Sales","Low Sales"))</f>
        <v>Medium Sales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19</v>
      </c>
      <c r="L405" s="10" t="s">
        <v>15</v>
      </c>
      <c r="M405" s="10">
        <v>300.44</v>
      </c>
      <c r="N405" s="10" t="s">
        <v>16</v>
      </c>
      <c r="O405" s="12" t="s">
        <v>94</v>
      </c>
      <c r="P405" s="2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5" t="str">
        <f>IF(DMart_Sales_data[[#This Row],[sales]]&gt;3000,"High Sales",IF(DMart_Sales_data[[#This Row],[sales]]&gt;1000,"Medium Sales","Low Sales"))</f>
        <v>Medium Sales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25</v>
      </c>
      <c r="M406" s="15">
        <v>138.59</v>
      </c>
      <c r="N406" s="10" t="s">
        <v>78</v>
      </c>
      <c r="O406" s="17" t="s">
        <v>78</v>
      </c>
      <c r="P406" s="2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448</v>
      </c>
      <c r="B407" s="9" t="s">
        <v>575</v>
      </c>
      <c r="C407" s="4" t="s">
        <v>575</v>
      </c>
      <c r="D407" s="10" t="s">
        <v>24</v>
      </c>
      <c r="E407" s="10">
        <v>3129.74</v>
      </c>
      <c r="F407" s="5" t="str">
        <f>IF(DMart_Sales_data[[#This Row],[sales]]&gt;3000,"High Sales",IF(DMart_Sales_data[[#This Row],[sales]]&gt;1000,"Medium Sales","Low Sales"))</f>
        <v>High Sales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19</v>
      </c>
      <c r="L407" s="10" t="s">
        <v>20</v>
      </c>
      <c r="M407" s="10">
        <v>398.59</v>
      </c>
      <c r="N407" s="10" t="s">
        <v>16</v>
      </c>
      <c r="O407" s="12" t="s">
        <v>51</v>
      </c>
      <c r="P407" s="2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449</v>
      </c>
      <c r="B408" s="14" t="s">
        <v>23</v>
      </c>
      <c r="C408" s="4" t="s">
        <v>23</v>
      </c>
      <c r="D408" s="15" t="s">
        <v>33</v>
      </c>
      <c r="E408" s="15">
        <v>2577.34</v>
      </c>
      <c r="F408" s="5" t="str">
        <f>IF(DMart_Sales_data[[#This Row],[sales]]&gt;3000,"High Sales",IF(DMart_Sales_data[[#This Row],[sales]]&gt;1000,"Medium Sales","Low Sales"))</f>
        <v>Medium Sales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31</v>
      </c>
      <c r="L408" s="15" t="s">
        <v>20</v>
      </c>
      <c r="M408" s="15">
        <v>658.39</v>
      </c>
      <c r="N408" s="10" t="s">
        <v>99</v>
      </c>
      <c r="O408" s="17" t="s">
        <v>99</v>
      </c>
      <c r="P408" s="2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450</v>
      </c>
      <c r="B409" s="9" t="s">
        <v>28</v>
      </c>
      <c r="C409" s="4" t="s">
        <v>28</v>
      </c>
      <c r="D409" s="10" t="s">
        <v>18</v>
      </c>
      <c r="E409" s="10">
        <v>1684.21</v>
      </c>
      <c r="F409" s="5" t="str">
        <f>IF(DMart_Sales_data[[#This Row],[sales]]&gt;3000,"High Sales",IF(DMart_Sales_data[[#This Row],[sales]]&gt;1000,"Medium Sales","Low Sales"))</f>
        <v>Medium Sales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31</v>
      </c>
      <c r="L409" s="10" t="s">
        <v>20</v>
      </c>
      <c r="M409" s="10">
        <v>240.4</v>
      </c>
      <c r="N409" s="10" t="s">
        <v>26</v>
      </c>
      <c r="O409" s="12" t="s">
        <v>26</v>
      </c>
      <c r="P409" s="2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5" t="str">
        <f>IF(DMart_Sales_data[[#This Row],[sales]]&gt;3000,"High Sales",IF(DMart_Sales_data[[#This Row],[sales]]&gt;1000,"Medium Sales","Low Sales"))</f>
        <v>Medium Sales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19</v>
      </c>
      <c r="L410" s="15" t="s">
        <v>20</v>
      </c>
      <c r="M410" s="15">
        <v>160.11000000000001</v>
      </c>
      <c r="N410" s="10" t="s">
        <v>26</v>
      </c>
      <c r="O410" s="17" t="s">
        <v>26</v>
      </c>
      <c r="P410" s="2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452</v>
      </c>
      <c r="B411" s="9" t="s">
        <v>575</v>
      </c>
      <c r="C411" s="4" t="s">
        <v>575</v>
      </c>
      <c r="D411" s="10" t="s">
        <v>33</v>
      </c>
      <c r="E411" s="10">
        <v>3894.89</v>
      </c>
      <c r="F411" s="5" t="str">
        <f>IF(DMart_Sales_data[[#This Row],[sales]]&gt;3000,"High Sales",IF(DMart_Sales_data[[#This Row],[sales]]&gt;1000,"Medium Sales","Low Sales"))</f>
        <v>High Sales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31</v>
      </c>
      <c r="L411" s="10" t="s">
        <v>25</v>
      </c>
      <c r="M411" s="10">
        <v>1145.5</v>
      </c>
      <c r="N411" s="10" t="s">
        <v>16</v>
      </c>
      <c r="O411" s="12" t="s">
        <v>51</v>
      </c>
      <c r="P411" s="2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453</v>
      </c>
      <c r="B412" s="14" t="s">
        <v>23</v>
      </c>
      <c r="C412" s="4" t="s">
        <v>23</v>
      </c>
      <c r="D412" s="15" t="s">
        <v>18</v>
      </c>
      <c r="E412" s="15">
        <v>4018.6</v>
      </c>
      <c r="F412" s="5" t="str">
        <f>IF(DMart_Sales_data[[#This Row],[sales]]&gt;3000,"High Sales",IF(DMart_Sales_data[[#This Row],[sales]]&gt;1000,"Medium Sales","Low Sales"))</f>
        <v>High Sales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0" t="s">
        <v>99</v>
      </c>
      <c r="O412" s="17" t="s">
        <v>64</v>
      </c>
      <c r="P412" s="2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5" t="str">
        <f>IF(DMart_Sales_data[[#This Row],[sales]]&gt;3000,"High Sales",IF(DMart_Sales_data[[#This Row],[sales]]&gt;1000,"Medium Sales","Low Sales"))</f>
        <v>Medium Sales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31</v>
      </c>
      <c r="L413" s="10" t="s">
        <v>25</v>
      </c>
      <c r="M413" s="10">
        <v>199.91</v>
      </c>
      <c r="N413" s="10" t="s">
        <v>16</v>
      </c>
      <c r="O413" s="12" t="s">
        <v>51</v>
      </c>
      <c r="P413" s="2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5" t="str">
        <f>IF(DMart_Sales_data[[#This Row],[sales]]&gt;3000,"High Sales",IF(DMart_Sales_data[[#This Row],[sales]]&gt;1000,"Medium Sales","Low Sales"))</f>
        <v>Medium Sales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31</v>
      </c>
      <c r="L414" s="15" t="s">
        <v>20</v>
      </c>
      <c r="M414" s="15">
        <v>321.3</v>
      </c>
      <c r="N414" s="10" t="s">
        <v>78</v>
      </c>
      <c r="O414" s="17" t="s">
        <v>54</v>
      </c>
      <c r="P414" s="2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456</v>
      </c>
      <c r="B415" s="9" t="s">
        <v>575</v>
      </c>
      <c r="C415" s="4" t="s">
        <v>575</v>
      </c>
      <c r="D415" s="10" t="s">
        <v>36</v>
      </c>
      <c r="E415" s="10">
        <v>1271.8</v>
      </c>
      <c r="F415" s="5" t="str">
        <f>IF(DMart_Sales_data[[#This Row],[sales]]&gt;3000,"High Sales",IF(DMart_Sales_data[[#This Row],[sales]]&gt;1000,"Medium Sales","Low Sales"))</f>
        <v>Medium Sales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31</v>
      </c>
      <c r="L415" s="10" t="s">
        <v>20</v>
      </c>
      <c r="M415" s="10">
        <v>369.36</v>
      </c>
      <c r="N415" s="10" t="s">
        <v>26</v>
      </c>
      <c r="O415" s="12" t="s">
        <v>38</v>
      </c>
      <c r="P415" s="2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5" t="str">
        <f>IF(DMart_Sales_data[[#This Row],[sales]]&gt;3000,"High Sales",IF(DMart_Sales_data[[#This Row],[sales]]&gt;1000,"Medium Sales","Low Sales"))</f>
        <v>High Sales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31</v>
      </c>
      <c r="L416" s="15" t="s">
        <v>20</v>
      </c>
      <c r="M416" s="15">
        <v>1318.47</v>
      </c>
      <c r="N416" s="10" t="s">
        <v>26</v>
      </c>
      <c r="O416" s="17" t="s">
        <v>47</v>
      </c>
      <c r="P416" s="2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458</v>
      </c>
      <c r="B417" s="9" t="s">
        <v>28</v>
      </c>
      <c r="C417" s="4" t="s">
        <v>28</v>
      </c>
      <c r="D417" s="10" t="s">
        <v>18</v>
      </c>
      <c r="E417" s="10">
        <v>3893.24</v>
      </c>
      <c r="F417" s="5" t="str">
        <f>IF(DMart_Sales_data[[#This Row],[sales]]&gt;3000,"High Sales",IF(DMart_Sales_data[[#This Row],[sales]]&gt;1000,"Medium Sales","Low Sales"))</f>
        <v>High Sales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19</v>
      </c>
      <c r="L417" s="10" t="s">
        <v>15</v>
      </c>
      <c r="M417" s="10">
        <v>954.08</v>
      </c>
      <c r="N417" s="10" t="s">
        <v>40</v>
      </c>
      <c r="O417" s="12" t="s">
        <v>67</v>
      </c>
      <c r="P417" s="2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5" t="str">
        <f>IF(DMart_Sales_data[[#This Row],[sales]]&gt;3000,"High Sales",IF(DMart_Sales_data[[#This Row],[sales]]&gt;1000,"Medium Sales","Low Sales"))</f>
        <v>Low Sales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31</v>
      </c>
      <c r="L418" s="15" t="s">
        <v>20</v>
      </c>
      <c r="M418" s="15">
        <v>124.67</v>
      </c>
      <c r="N418" s="10" t="s">
        <v>16</v>
      </c>
      <c r="O418" s="17" t="s">
        <v>51</v>
      </c>
      <c r="P418" s="2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460</v>
      </c>
      <c r="B419" s="9" t="s">
        <v>575</v>
      </c>
      <c r="C419" s="4" t="s">
        <v>575</v>
      </c>
      <c r="D419" s="10" t="s">
        <v>24</v>
      </c>
      <c r="E419" s="10">
        <v>4180.0600000000004</v>
      </c>
      <c r="F419" s="5" t="str">
        <f>IF(DMart_Sales_data[[#This Row],[sales]]&gt;3000,"High Sales",IF(DMart_Sales_data[[#This Row],[sales]]&gt;1000,"Medium Sales","Low Sales"))</f>
        <v>High Sales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19</v>
      </c>
      <c r="L419" s="10" t="s">
        <v>20</v>
      </c>
      <c r="M419" s="10">
        <v>1157.1600000000001</v>
      </c>
      <c r="N419" s="10" t="s">
        <v>34</v>
      </c>
      <c r="O419" s="12" t="s">
        <v>34</v>
      </c>
      <c r="P419" s="2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461</v>
      </c>
      <c r="B420" s="14" t="s">
        <v>23</v>
      </c>
      <c r="C420" s="4" t="s">
        <v>23</v>
      </c>
      <c r="D420" s="15" t="s">
        <v>24</v>
      </c>
      <c r="E420" s="15">
        <v>280.57</v>
      </c>
      <c r="F420" s="5" t="str">
        <f>IF(DMart_Sales_data[[#This Row],[sales]]&gt;3000,"High Sales",IF(DMart_Sales_data[[#This Row],[sales]]&gt;1000,"Medium Sales","Low Sales"))</f>
        <v>Low Sales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19</v>
      </c>
      <c r="L420" s="15" t="s">
        <v>25</v>
      </c>
      <c r="M420" s="15">
        <v>66.28</v>
      </c>
      <c r="N420" s="10" t="s">
        <v>99</v>
      </c>
      <c r="O420" s="17" t="s">
        <v>62</v>
      </c>
      <c r="P420" s="2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462</v>
      </c>
      <c r="B421" s="9" t="s">
        <v>28</v>
      </c>
      <c r="C421" s="4" t="s">
        <v>28</v>
      </c>
      <c r="D421" s="10" t="s">
        <v>36</v>
      </c>
      <c r="E421" s="10">
        <v>1340.68</v>
      </c>
      <c r="F421" s="5" t="str">
        <f>IF(DMart_Sales_data[[#This Row],[sales]]&gt;3000,"High Sales",IF(DMart_Sales_data[[#This Row],[sales]]&gt;1000,"Medium Sales","Low Sales"))</f>
        <v>Medium Sales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19</v>
      </c>
      <c r="L421" s="10" t="s">
        <v>20</v>
      </c>
      <c r="M421" s="10">
        <v>256.22000000000003</v>
      </c>
      <c r="N421" s="10" t="s">
        <v>16</v>
      </c>
      <c r="O421" s="12" t="s">
        <v>51</v>
      </c>
      <c r="P421" s="2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5" t="str">
        <f>IF(DMart_Sales_data[[#This Row],[sales]]&gt;3000,"High Sales",IF(DMart_Sales_data[[#This Row],[sales]]&gt;1000,"Medium Sales","Low Sales"))</f>
        <v>High Sales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0" t="s">
        <v>99</v>
      </c>
      <c r="O422" s="17" t="s">
        <v>62</v>
      </c>
      <c r="P422" s="2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464</v>
      </c>
      <c r="B423" s="9" t="s">
        <v>575</v>
      </c>
      <c r="C423" s="4" t="s">
        <v>575</v>
      </c>
      <c r="D423" s="10" t="s">
        <v>13</v>
      </c>
      <c r="E423" s="10">
        <v>4335.22</v>
      </c>
      <c r="F423" s="5" t="str">
        <f>IF(DMart_Sales_data[[#This Row],[sales]]&gt;3000,"High Sales",IF(DMart_Sales_data[[#This Row],[sales]]&gt;1000,"Medium Sales","Low Sales"))</f>
        <v>High Sales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25</v>
      </c>
      <c r="M423" s="10">
        <v>1006.56</v>
      </c>
      <c r="N423" s="10" t="s">
        <v>78</v>
      </c>
      <c r="O423" s="12" t="s">
        <v>78</v>
      </c>
      <c r="P423" s="2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465</v>
      </c>
      <c r="B424" s="14" t="s">
        <v>23</v>
      </c>
      <c r="C424" s="4" t="s">
        <v>23</v>
      </c>
      <c r="D424" s="15" t="s">
        <v>18</v>
      </c>
      <c r="E424" s="15">
        <v>3929.03</v>
      </c>
      <c r="F424" s="5" t="str">
        <f>IF(DMart_Sales_data[[#This Row],[sales]]&gt;3000,"High Sales",IF(DMart_Sales_data[[#This Row],[sales]]&gt;1000,"Medium Sales","Low Sales"))</f>
        <v>High Sales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19</v>
      </c>
      <c r="L424" s="15" t="s">
        <v>20</v>
      </c>
      <c r="M424" s="15">
        <v>689.37</v>
      </c>
      <c r="N424" s="10" t="s">
        <v>99</v>
      </c>
      <c r="O424" s="17" t="s">
        <v>62</v>
      </c>
      <c r="P424" s="2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466</v>
      </c>
      <c r="B425" s="9" t="s">
        <v>28</v>
      </c>
      <c r="C425" s="4" t="s">
        <v>28</v>
      </c>
      <c r="D425" s="10" t="s">
        <v>33</v>
      </c>
      <c r="E425" s="10">
        <v>2341.98</v>
      </c>
      <c r="F425" s="5" t="str">
        <f>IF(DMart_Sales_data[[#This Row],[sales]]&gt;3000,"High Sales",IF(DMart_Sales_data[[#This Row],[sales]]&gt;1000,"Medium Sales","Low Sales"))</f>
        <v>Medium Sales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10" t="s">
        <v>16</v>
      </c>
      <c r="O425" s="12" t="s">
        <v>16</v>
      </c>
      <c r="P425" s="2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5" t="str">
        <f>IF(DMart_Sales_data[[#This Row],[sales]]&gt;3000,"High Sales",IF(DMart_Sales_data[[#This Row],[sales]]&gt;1000,"Medium Sales","Low Sales"))</f>
        <v>Medium Sales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31</v>
      </c>
      <c r="L426" s="15" t="s">
        <v>25</v>
      </c>
      <c r="M426" s="15">
        <v>84.32</v>
      </c>
      <c r="N426" s="10" t="s">
        <v>34</v>
      </c>
      <c r="O426" s="17" t="s">
        <v>34</v>
      </c>
      <c r="P426" s="2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468</v>
      </c>
      <c r="B427" s="9" t="s">
        <v>575</v>
      </c>
      <c r="C427" s="4" t="s">
        <v>575</v>
      </c>
      <c r="D427" s="10" t="s">
        <v>33</v>
      </c>
      <c r="E427" s="10">
        <v>4419.57</v>
      </c>
      <c r="F427" s="5" t="str">
        <f>IF(DMart_Sales_data[[#This Row],[sales]]&gt;3000,"High Sales",IF(DMart_Sales_data[[#This Row],[sales]]&gt;1000,"Medium Sales","Low Sales"))</f>
        <v>High Sales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20</v>
      </c>
      <c r="M427" s="10">
        <v>1237.73</v>
      </c>
      <c r="N427" s="10" t="s">
        <v>99</v>
      </c>
      <c r="O427" s="12" t="s">
        <v>62</v>
      </c>
      <c r="P427" s="2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469</v>
      </c>
      <c r="B428" s="14" t="s">
        <v>23</v>
      </c>
      <c r="C428" s="4" t="s">
        <v>23</v>
      </c>
      <c r="D428" s="15" t="s">
        <v>36</v>
      </c>
      <c r="E428" s="15">
        <v>3319.66</v>
      </c>
      <c r="F428" s="5" t="str">
        <f>IF(DMart_Sales_data[[#This Row],[sales]]&gt;3000,"High Sales",IF(DMart_Sales_data[[#This Row],[sales]]&gt;1000,"Medium Sales","Low Sales"))</f>
        <v>High Sales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31</v>
      </c>
      <c r="L428" s="15" t="s">
        <v>20</v>
      </c>
      <c r="M428" s="15">
        <v>954.37</v>
      </c>
      <c r="N428" s="10" t="s">
        <v>78</v>
      </c>
      <c r="O428" s="17" t="s">
        <v>54</v>
      </c>
      <c r="P428" s="2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470</v>
      </c>
      <c r="B429" s="9" t="s">
        <v>28</v>
      </c>
      <c r="C429" s="4" t="s">
        <v>28</v>
      </c>
      <c r="D429" s="10" t="s">
        <v>24</v>
      </c>
      <c r="E429" s="10">
        <v>1547.99</v>
      </c>
      <c r="F429" s="5" t="str">
        <f>IF(DMart_Sales_data[[#This Row],[sales]]&gt;3000,"High Sales",IF(DMart_Sales_data[[#This Row],[sales]]&gt;1000,"Medium Sales","Low Sales"))</f>
        <v>Medium Sales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25</v>
      </c>
      <c r="M429" s="10">
        <v>162.33000000000001</v>
      </c>
      <c r="N429" s="10" t="s">
        <v>78</v>
      </c>
      <c r="O429" s="12" t="s">
        <v>21</v>
      </c>
      <c r="P429" s="2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5" t="str">
        <f>IF(DMart_Sales_data[[#This Row],[sales]]&gt;3000,"High Sales",IF(DMart_Sales_data[[#This Row],[sales]]&gt;1000,"Medium Sales","Low Sales"))</f>
        <v>Medium Sales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19</v>
      </c>
      <c r="L430" s="15" t="s">
        <v>15</v>
      </c>
      <c r="M430" s="15">
        <v>639.24</v>
      </c>
      <c r="N430" s="10" t="s">
        <v>78</v>
      </c>
      <c r="O430" s="17" t="s">
        <v>78</v>
      </c>
      <c r="P430" s="2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472</v>
      </c>
      <c r="B431" s="9" t="s">
        <v>575</v>
      </c>
      <c r="C431" s="4" t="s">
        <v>575</v>
      </c>
      <c r="D431" s="10" t="s">
        <v>24</v>
      </c>
      <c r="E431" s="10">
        <v>4419.3500000000004</v>
      </c>
      <c r="F431" s="5" t="str">
        <f>IF(DMart_Sales_data[[#This Row],[sales]]&gt;3000,"High Sales",IF(DMart_Sales_data[[#This Row],[sales]]&gt;1000,"Medium Sales","Low Sales"))</f>
        <v>High Sales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19</v>
      </c>
      <c r="L431" s="10" t="s">
        <v>25</v>
      </c>
      <c r="M431" s="10">
        <v>872.99</v>
      </c>
      <c r="N431" s="10" t="s">
        <v>16</v>
      </c>
      <c r="O431" s="12" t="s">
        <v>51</v>
      </c>
      <c r="P431" s="2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473</v>
      </c>
      <c r="B432" s="14" t="s">
        <v>23</v>
      </c>
      <c r="C432" s="4" t="s">
        <v>23</v>
      </c>
      <c r="D432" s="15" t="s">
        <v>18</v>
      </c>
      <c r="E432" s="15">
        <v>4526.93</v>
      </c>
      <c r="F432" s="5" t="str">
        <f>IF(DMart_Sales_data[[#This Row],[sales]]&gt;3000,"High Sales",IF(DMart_Sales_data[[#This Row],[sales]]&gt;1000,"Medium Sales","Low Sales"))</f>
        <v>High Sales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25</v>
      </c>
      <c r="M432" s="15">
        <v>558.38</v>
      </c>
      <c r="N432" s="10" t="s">
        <v>26</v>
      </c>
      <c r="O432" s="17" t="s">
        <v>38</v>
      </c>
      <c r="P432" s="2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474</v>
      </c>
      <c r="B433" s="9" t="s">
        <v>28</v>
      </c>
      <c r="C433" s="4" t="s">
        <v>28</v>
      </c>
      <c r="D433" s="10" t="s">
        <v>18</v>
      </c>
      <c r="E433" s="10">
        <v>3330.58</v>
      </c>
      <c r="F433" s="5" t="str">
        <f>IF(DMart_Sales_data[[#This Row],[sales]]&gt;3000,"High Sales",IF(DMart_Sales_data[[#This Row],[sales]]&gt;1000,"Medium Sales","Low Sales"))</f>
        <v>High Sales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31</v>
      </c>
      <c r="L433" s="10" t="s">
        <v>15</v>
      </c>
      <c r="M433" s="10">
        <v>728.97</v>
      </c>
      <c r="N433" s="10" t="s">
        <v>16</v>
      </c>
      <c r="O433" s="12" t="s">
        <v>94</v>
      </c>
      <c r="P433" s="2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5" t="str">
        <f>IF(DMart_Sales_data[[#This Row],[sales]]&gt;3000,"High Sales",IF(DMart_Sales_data[[#This Row],[sales]]&gt;1000,"Medium Sales","Low Sales"))</f>
        <v>High Sales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31</v>
      </c>
      <c r="L434" s="15" t="s">
        <v>15</v>
      </c>
      <c r="M434" s="15">
        <v>920.08</v>
      </c>
      <c r="N434" s="10" t="s">
        <v>40</v>
      </c>
      <c r="O434" s="17" t="s">
        <v>43</v>
      </c>
      <c r="P434" s="2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476</v>
      </c>
      <c r="B435" s="9" t="s">
        <v>575</v>
      </c>
      <c r="C435" s="4" t="s">
        <v>575</v>
      </c>
      <c r="D435" s="10" t="s">
        <v>36</v>
      </c>
      <c r="E435" s="10">
        <v>292.56</v>
      </c>
      <c r="F435" s="5" t="str">
        <f>IF(DMart_Sales_data[[#This Row],[sales]]&gt;3000,"High Sales",IF(DMart_Sales_data[[#This Row],[sales]]&gt;1000,"Medium Sales","Low Sales"))</f>
        <v>Low Sales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19</v>
      </c>
      <c r="L435" s="10" t="s">
        <v>20</v>
      </c>
      <c r="M435" s="10">
        <v>45.46</v>
      </c>
      <c r="N435" s="10" t="s">
        <v>40</v>
      </c>
      <c r="O435" s="12" t="s">
        <v>43</v>
      </c>
      <c r="P435" s="2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477</v>
      </c>
      <c r="B436" s="14" t="s">
        <v>23</v>
      </c>
      <c r="C436" s="4" t="s">
        <v>23</v>
      </c>
      <c r="D436" s="15" t="s">
        <v>18</v>
      </c>
      <c r="E436" s="15">
        <v>3062.54</v>
      </c>
      <c r="F436" s="5" t="str">
        <f>IF(DMart_Sales_data[[#This Row],[sales]]&gt;3000,"High Sales",IF(DMart_Sales_data[[#This Row],[sales]]&gt;1000,"Medium Sales","Low Sales"))</f>
        <v>High Sales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31</v>
      </c>
      <c r="L436" s="15" t="s">
        <v>25</v>
      </c>
      <c r="M436" s="15">
        <v>628.74</v>
      </c>
      <c r="N436" s="10" t="s">
        <v>99</v>
      </c>
      <c r="O436" s="17" t="s">
        <v>64</v>
      </c>
      <c r="P436" s="2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478</v>
      </c>
      <c r="B437" s="9" t="s">
        <v>28</v>
      </c>
      <c r="C437" s="4" t="s">
        <v>28</v>
      </c>
      <c r="D437" s="10" t="s">
        <v>18</v>
      </c>
      <c r="E437" s="10">
        <v>3476.06</v>
      </c>
      <c r="F437" s="5" t="str">
        <f>IF(DMart_Sales_data[[#This Row],[sales]]&gt;3000,"High Sales",IF(DMart_Sales_data[[#This Row],[sales]]&gt;1000,"Medium Sales","Low Sales"))</f>
        <v>High Sales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19</v>
      </c>
      <c r="L437" s="10" t="s">
        <v>20</v>
      </c>
      <c r="M437" s="10">
        <v>348.92</v>
      </c>
      <c r="N437" s="10" t="s">
        <v>99</v>
      </c>
      <c r="O437" s="12" t="s">
        <v>99</v>
      </c>
      <c r="P437" s="2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5" t="str">
        <f>IF(DMart_Sales_data[[#This Row],[sales]]&gt;3000,"High Sales",IF(DMart_Sales_data[[#This Row],[sales]]&gt;1000,"Medium Sales","Low Sales"))</f>
        <v>Low Sales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0" t="s">
        <v>26</v>
      </c>
      <c r="O438" s="17" t="s">
        <v>38</v>
      </c>
      <c r="P438" s="2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480</v>
      </c>
      <c r="B439" s="9" t="s">
        <v>575</v>
      </c>
      <c r="C439" s="4" t="s">
        <v>575</v>
      </c>
      <c r="D439" s="10" t="s">
        <v>24</v>
      </c>
      <c r="E439" s="10">
        <v>4234.91</v>
      </c>
      <c r="F439" s="5" t="str">
        <f>IF(DMart_Sales_data[[#This Row],[sales]]&gt;3000,"High Sales",IF(DMart_Sales_data[[#This Row],[sales]]&gt;1000,"Medium Sales","Low Sales"))</f>
        <v>High Sales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25</v>
      </c>
      <c r="M439" s="10">
        <v>1202.19</v>
      </c>
      <c r="N439" s="10" t="s">
        <v>78</v>
      </c>
      <c r="O439" s="12" t="s">
        <v>78</v>
      </c>
      <c r="P439" s="2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481</v>
      </c>
      <c r="B440" s="14" t="s">
        <v>23</v>
      </c>
      <c r="C440" s="4" t="s">
        <v>23</v>
      </c>
      <c r="D440" s="15" t="s">
        <v>18</v>
      </c>
      <c r="E440" s="15">
        <v>4648.6000000000004</v>
      </c>
      <c r="F440" s="5" t="str">
        <f>IF(DMart_Sales_data[[#This Row],[sales]]&gt;3000,"High Sales",IF(DMart_Sales_data[[#This Row],[sales]]&gt;1000,"Medium Sales","Low Sales"))</f>
        <v>High Sales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25</v>
      </c>
      <c r="M440" s="15">
        <v>411.68</v>
      </c>
      <c r="N440" s="10" t="s">
        <v>99</v>
      </c>
      <c r="O440" s="17" t="s">
        <v>99</v>
      </c>
      <c r="P440" s="2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482</v>
      </c>
      <c r="B441" s="9" t="s">
        <v>28</v>
      </c>
      <c r="C441" s="4" t="s">
        <v>28</v>
      </c>
      <c r="D441" s="10" t="s">
        <v>36</v>
      </c>
      <c r="E441" s="10">
        <v>1265.8900000000001</v>
      </c>
      <c r="F441" s="5" t="str">
        <f>IF(DMart_Sales_data[[#This Row],[sales]]&gt;3000,"High Sales",IF(DMart_Sales_data[[#This Row],[sales]]&gt;1000,"Medium Sales","Low Sales"))</f>
        <v>Medium Sales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19</v>
      </c>
      <c r="L441" s="10" t="s">
        <v>25</v>
      </c>
      <c r="M441" s="10">
        <v>225.89</v>
      </c>
      <c r="N441" s="10" t="s">
        <v>40</v>
      </c>
      <c r="O441" s="12" t="s">
        <v>40</v>
      </c>
      <c r="P441" s="2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5" t="str">
        <f>IF(DMart_Sales_data[[#This Row],[sales]]&gt;3000,"High Sales",IF(DMart_Sales_data[[#This Row],[sales]]&gt;1000,"Medium Sales","Low Sales"))</f>
        <v>High Sales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0" t="s">
        <v>40</v>
      </c>
      <c r="O442" s="17" t="s">
        <v>67</v>
      </c>
      <c r="P442" s="2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484</v>
      </c>
      <c r="B443" s="9" t="s">
        <v>575</v>
      </c>
      <c r="C443" s="4" t="s">
        <v>575</v>
      </c>
      <c r="D443" s="10" t="s">
        <v>24</v>
      </c>
      <c r="E443" s="10">
        <v>3361.01</v>
      </c>
      <c r="F443" s="5" t="str">
        <f>IF(DMart_Sales_data[[#This Row],[sales]]&gt;3000,"High Sales",IF(DMart_Sales_data[[#This Row],[sales]]&gt;1000,"Medium Sales","Low Sales"))</f>
        <v>High Sales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31</v>
      </c>
      <c r="L443" s="10" t="s">
        <v>15</v>
      </c>
      <c r="M443" s="10">
        <v>887.13</v>
      </c>
      <c r="N443" s="10" t="s">
        <v>99</v>
      </c>
      <c r="O443" s="12" t="s">
        <v>99</v>
      </c>
      <c r="P443" s="2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485</v>
      </c>
      <c r="B444" s="14" t="s">
        <v>23</v>
      </c>
      <c r="C444" s="4" t="s">
        <v>23</v>
      </c>
      <c r="D444" s="15" t="s">
        <v>13</v>
      </c>
      <c r="E444" s="15">
        <v>2945.41</v>
      </c>
      <c r="F444" s="5" t="str">
        <f>IF(DMart_Sales_data[[#This Row],[sales]]&gt;3000,"High Sales",IF(DMart_Sales_data[[#This Row],[sales]]&gt;1000,"Medium Sales","Low Sales"))</f>
        <v>Medium Sales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19</v>
      </c>
      <c r="L444" s="15" t="s">
        <v>25</v>
      </c>
      <c r="M444" s="15">
        <v>715.35</v>
      </c>
      <c r="N444" s="10" t="s">
        <v>26</v>
      </c>
      <c r="O444" s="17" t="s">
        <v>47</v>
      </c>
      <c r="P444" s="2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486</v>
      </c>
      <c r="B445" s="9" t="s">
        <v>28</v>
      </c>
      <c r="C445" s="4" t="s">
        <v>28</v>
      </c>
      <c r="D445" s="10" t="s">
        <v>18</v>
      </c>
      <c r="E445" s="10">
        <v>4231.32</v>
      </c>
      <c r="F445" s="5" t="str">
        <f>IF(DMart_Sales_data[[#This Row],[sales]]&gt;3000,"High Sales",IF(DMart_Sales_data[[#This Row],[sales]]&gt;1000,"Medium Sales","Low Sales"))</f>
        <v>High Sales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31</v>
      </c>
      <c r="L445" s="10" t="s">
        <v>25</v>
      </c>
      <c r="M445" s="10">
        <v>416.16</v>
      </c>
      <c r="N445" s="10" t="s">
        <v>16</v>
      </c>
      <c r="O445" s="12" t="s">
        <v>51</v>
      </c>
      <c r="P445" s="2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5" t="str">
        <f>IF(DMart_Sales_data[[#This Row],[sales]]&gt;3000,"High Sales",IF(DMart_Sales_data[[#This Row],[sales]]&gt;1000,"Medium Sales","Low Sales"))</f>
        <v>Medium Sales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0" t="s">
        <v>99</v>
      </c>
      <c r="O446" s="17" t="s">
        <v>64</v>
      </c>
      <c r="P446" s="2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488</v>
      </c>
      <c r="B447" s="9" t="s">
        <v>575</v>
      </c>
      <c r="C447" s="4" t="s">
        <v>575</v>
      </c>
      <c r="D447" s="10" t="s">
        <v>24</v>
      </c>
      <c r="E447" s="10">
        <v>3975.2</v>
      </c>
      <c r="F447" s="5" t="str">
        <f>IF(DMart_Sales_data[[#This Row],[sales]]&gt;3000,"High Sales",IF(DMart_Sales_data[[#This Row],[sales]]&gt;1000,"Medium Sales","Low Sales"))</f>
        <v>High Sales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19</v>
      </c>
      <c r="L447" s="10" t="s">
        <v>15</v>
      </c>
      <c r="M447" s="10">
        <v>537.94000000000005</v>
      </c>
      <c r="N447" s="10" t="s">
        <v>40</v>
      </c>
      <c r="O447" s="12" t="s">
        <v>67</v>
      </c>
      <c r="P447" s="2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489</v>
      </c>
      <c r="B448" s="14" t="s">
        <v>23</v>
      </c>
      <c r="C448" s="4" t="s">
        <v>23</v>
      </c>
      <c r="D448" s="15" t="s">
        <v>36</v>
      </c>
      <c r="E448" s="15">
        <v>1641.15</v>
      </c>
      <c r="F448" s="5" t="str">
        <f>IF(DMart_Sales_data[[#This Row],[sales]]&gt;3000,"High Sales",IF(DMart_Sales_data[[#This Row],[sales]]&gt;1000,"Medium Sales","Low Sales"))</f>
        <v>Medium Sales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19</v>
      </c>
      <c r="L448" s="15" t="s">
        <v>15</v>
      </c>
      <c r="M448" s="15">
        <v>426.36</v>
      </c>
      <c r="N448" s="10" t="s">
        <v>99</v>
      </c>
      <c r="O448" s="17" t="s">
        <v>64</v>
      </c>
      <c r="P448" s="2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490</v>
      </c>
      <c r="B449" s="9" t="s">
        <v>28</v>
      </c>
      <c r="C449" s="4" t="s">
        <v>28</v>
      </c>
      <c r="D449" s="10" t="s">
        <v>36</v>
      </c>
      <c r="E449" s="10">
        <v>3958.54</v>
      </c>
      <c r="F449" s="5" t="str">
        <f>IF(DMart_Sales_data[[#This Row],[sales]]&gt;3000,"High Sales",IF(DMart_Sales_data[[#This Row],[sales]]&gt;1000,"Medium Sales","Low Sales"))</f>
        <v>High Sales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19</v>
      </c>
      <c r="L449" s="10" t="s">
        <v>25</v>
      </c>
      <c r="M449" s="10">
        <v>446.02</v>
      </c>
      <c r="N449" s="10" t="s">
        <v>78</v>
      </c>
      <c r="O449" s="12" t="s">
        <v>21</v>
      </c>
      <c r="P449" s="2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5" t="str">
        <f>IF(DMart_Sales_data[[#This Row],[sales]]&gt;3000,"High Sales",IF(DMart_Sales_data[[#This Row],[sales]]&gt;1000,"Medium Sales","Low Sales"))</f>
        <v>Medium Sales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20</v>
      </c>
      <c r="M450" s="15">
        <v>387.87</v>
      </c>
      <c r="N450" s="10" t="s">
        <v>34</v>
      </c>
      <c r="O450" s="17" t="s">
        <v>34</v>
      </c>
      <c r="P450" s="2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492</v>
      </c>
      <c r="B451" s="9" t="s">
        <v>575</v>
      </c>
      <c r="C451" s="4" t="s">
        <v>575</v>
      </c>
      <c r="D451" s="10" t="s">
        <v>24</v>
      </c>
      <c r="E451" s="10">
        <v>673.03</v>
      </c>
      <c r="F451" s="5" t="str">
        <f>IF(DMart_Sales_data[[#This Row],[sales]]&gt;3000,"High Sales",IF(DMart_Sales_data[[#This Row],[sales]]&gt;1000,"Medium Sales","Low Sales"))</f>
        <v>Low Sales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19</v>
      </c>
      <c r="L451" s="10" t="s">
        <v>20</v>
      </c>
      <c r="M451" s="10">
        <v>77.650000000000006</v>
      </c>
      <c r="N451" s="10" t="s">
        <v>34</v>
      </c>
      <c r="O451" s="12" t="s">
        <v>29</v>
      </c>
      <c r="P451" s="2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493</v>
      </c>
      <c r="B452" s="14" t="s">
        <v>23</v>
      </c>
      <c r="C452" s="4" t="s">
        <v>23</v>
      </c>
      <c r="D452" s="15" t="s">
        <v>18</v>
      </c>
      <c r="E452" s="15">
        <v>1969.45</v>
      </c>
      <c r="F452" s="5" t="str">
        <f>IF(DMart_Sales_data[[#This Row],[sales]]&gt;3000,"High Sales",IF(DMart_Sales_data[[#This Row],[sales]]&gt;1000,"Medium Sales","Low Sales"))</f>
        <v>Medium Sales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19</v>
      </c>
      <c r="L452" s="15" t="s">
        <v>25</v>
      </c>
      <c r="M452" s="15">
        <v>428.31</v>
      </c>
      <c r="N452" s="10" t="s">
        <v>26</v>
      </c>
      <c r="O452" s="17" t="s">
        <v>47</v>
      </c>
      <c r="P452" s="2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494</v>
      </c>
      <c r="B453" s="9" t="s">
        <v>28</v>
      </c>
      <c r="C453" s="4" t="s">
        <v>28</v>
      </c>
      <c r="D453" s="10" t="s">
        <v>13</v>
      </c>
      <c r="E453" s="10">
        <v>1244.1199999999999</v>
      </c>
      <c r="F453" s="5" t="str">
        <f>IF(DMart_Sales_data[[#This Row],[sales]]&gt;3000,"High Sales",IF(DMart_Sales_data[[#This Row],[sales]]&gt;1000,"Medium Sales","Low Sales"))</f>
        <v>Medium Sales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20</v>
      </c>
      <c r="M453" s="10">
        <v>79.13</v>
      </c>
      <c r="N453" s="10" t="s">
        <v>99</v>
      </c>
      <c r="O453" s="12" t="s">
        <v>62</v>
      </c>
      <c r="P453" s="2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5" t="str">
        <f>IF(DMart_Sales_data[[#This Row],[sales]]&gt;3000,"High Sales",IF(DMart_Sales_data[[#This Row],[sales]]&gt;1000,"Medium Sales","Low Sales"))</f>
        <v>Low Sales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25</v>
      </c>
      <c r="M454" s="15">
        <v>115.42</v>
      </c>
      <c r="N454" s="10" t="s">
        <v>16</v>
      </c>
      <c r="O454" s="17" t="s">
        <v>94</v>
      </c>
      <c r="P454" s="2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496</v>
      </c>
      <c r="B455" s="9" t="s">
        <v>575</v>
      </c>
      <c r="C455" s="4" t="s">
        <v>575</v>
      </c>
      <c r="D455" s="10" t="s">
        <v>33</v>
      </c>
      <c r="E455" s="10">
        <v>640.41</v>
      </c>
      <c r="F455" s="5" t="str">
        <f>IF(DMart_Sales_data[[#This Row],[sales]]&gt;3000,"High Sales",IF(DMart_Sales_data[[#This Row],[sales]]&gt;1000,"Medium Sales","Low Sales"))</f>
        <v>Low Sales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31</v>
      </c>
      <c r="L455" s="10" t="s">
        <v>20</v>
      </c>
      <c r="M455" s="10">
        <v>150.09</v>
      </c>
      <c r="N455" s="10" t="s">
        <v>16</v>
      </c>
      <c r="O455" s="12" t="s">
        <v>51</v>
      </c>
      <c r="P455" s="2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497</v>
      </c>
      <c r="B456" s="14" t="s">
        <v>23</v>
      </c>
      <c r="C456" s="4" t="s">
        <v>23</v>
      </c>
      <c r="D456" s="15" t="s">
        <v>36</v>
      </c>
      <c r="E456" s="15">
        <v>3922.35</v>
      </c>
      <c r="F456" s="5" t="str">
        <f>IF(DMart_Sales_data[[#This Row],[sales]]&gt;3000,"High Sales",IF(DMart_Sales_data[[#This Row],[sales]]&gt;1000,"Medium Sales","Low Sales"))</f>
        <v>High Sales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31</v>
      </c>
      <c r="L456" s="15" t="s">
        <v>25</v>
      </c>
      <c r="M456" s="15">
        <v>387.72</v>
      </c>
      <c r="N456" s="10" t="s">
        <v>40</v>
      </c>
      <c r="O456" s="17" t="s">
        <v>40</v>
      </c>
      <c r="P456" s="2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498</v>
      </c>
      <c r="B457" s="9" t="s">
        <v>28</v>
      </c>
      <c r="C457" s="4" t="s">
        <v>28</v>
      </c>
      <c r="D457" s="10" t="s">
        <v>33</v>
      </c>
      <c r="E457" s="10">
        <v>4418.8500000000004</v>
      </c>
      <c r="F457" s="5" t="str">
        <f>IF(DMart_Sales_data[[#This Row],[sales]]&gt;3000,"High Sales",IF(DMart_Sales_data[[#This Row],[sales]]&gt;1000,"Medium Sales","Low Sales"))</f>
        <v>High Sales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31</v>
      </c>
      <c r="L457" s="10" t="s">
        <v>15</v>
      </c>
      <c r="M457" s="10">
        <v>482.71</v>
      </c>
      <c r="N457" s="10" t="s">
        <v>34</v>
      </c>
      <c r="O457" s="12" t="s">
        <v>34</v>
      </c>
      <c r="P457" s="2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5" t="str">
        <f>IF(DMart_Sales_data[[#This Row],[sales]]&gt;3000,"High Sales",IF(DMart_Sales_data[[#This Row],[sales]]&gt;1000,"Medium Sales","Low Sales"))</f>
        <v>High Sales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19</v>
      </c>
      <c r="L458" s="15" t="s">
        <v>20</v>
      </c>
      <c r="M458" s="15">
        <v>1074.45</v>
      </c>
      <c r="N458" s="10" t="s">
        <v>99</v>
      </c>
      <c r="O458" s="17" t="s">
        <v>99</v>
      </c>
      <c r="P458" s="2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500</v>
      </c>
      <c r="B459" s="9" t="s">
        <v>575</v>
      </c>
      <c r="C459" s="4" t="s">
        <v>575</v>
      </c>
      <c r="D459" s="10" t="s">
        <v>13</v>
      </c>
      <c r="E459" s="10">
        <v>4284.34</v>
      </c>
      <c r="F459" s="5" t="str">
        <f>IF(DMart_Sales_data[[#This Row],[sales]]&gt;3000,"High Sales",IF(DMart_Sales_data[[#This Row],[sales]]&gt;1000,"Medium Sales","Low Sales"))</f>
        <v>High Sales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20</v>
      </c>
      <c r="M459" s="10">
        <v>659.46</v>
      </c>
      <c r="N459" s="10" t="s">
        <v>16</v>
      </c>
      <c r="O459" s="12" t="s">
        <v>16</v>
      </c>
      <c r="P459" s="2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501</v>
      </c>
      <c r="B460" s="14" t="s">
        <v>23</v>
      </c>
      <c r="C460" s="4" t="s">
        <v>23</v>
      </c>
      <c r="D460" s="15" t="s">
        <v>18</v>
      </c>
      <c r="E460" s="15">
        <v>4168.1000000000004</v>
      </c>
      <c r="F460" s="5" t="str">
        <f>IF(DMart_Sales_data[[#This Row],[sales]]&gt;3000,"High Sales",IF(DMart_Sales_data[[#This Row],[sales]]&gt;1000,"Medium Sales","Low Sales"))</f>
        <v>High Sales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31</v>
      </c>
      <c r="L460" s="15" t="s">
        <v>15</v>
      </c>
      <c r="M460" s="15">
        <v>857.48</v>
      </c>
      <c r="N460" s="10" t="s">
        <v>78</v>
      </c>
      <c r="O460" s="17" t="s">
        <v>54</v>
      </c>
      <c r="P460" s="2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502</v>
      </c>
      <c r="B461" s="9" t="s">
        <v>28</v>
      </c>
      <c r="C461" s="4" t="s">
        <v>28</v>
      </c>
      <c r="D461" s="10" t="s">
        <v>18</v>
      </c>
      <c r="E461" s="10">
        <v>437.3</v>
      </c>
      <c r="F461" s="5" t="str">
        <f>IF(DMart_Sales_data[[#This Row],[sales]]&gt;3000,"High Sales",IF(DMart_Sales_data[[#This Row],[sales]]&gt;1000,"Medium Sales","Low Sales"))</f>
        <v>Low Sales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31</v>
      </c>
      <c r="L461" s="10" t="s">
        <v>20</v>
      </c>
      <c r="M461" s="10">
        <v>68.510000000000005</v>
      </c>
      <c r="N461" s="10" t="s">
        <v>99</v>
      </c>
      <c r="O461" s="12" t="s">
        <v>64</v>
      </c>
      <c r="P461" s="2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5" t="str">
        <f>IF(DMart_Sales_data[[#This Row],[sales]]&gt;3000,"High Sales",IF(DMart_Sales_data[[#This Row],[sales]]&gt;1000,"Medium Sales","Low Sales"))</f>
        <v>High Sales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25</v>
      </c>
      <c r="M462" s="15">
        <v>614.4</v>
      </c>
      <c r="N462" s="10" t="s">
        <v>16</v>
      </c>
      <c r="O462" s="17" t="s">
        <v>51</v>
      </c>
      <c r="P462" s="2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504</v>
      </c>
      <c r="B463" s="9" t="s">
        <v>575</v>
      </c>
      <c r="C463" s="4" t="s">
        <v>575</v>
      </c>
      <c r="D463" s="10" t="s">
        <v>24</v>
      </c>
      <c r="E463" s="10">
        <v>3938.09</v>
      </c>
      <c r="F463" s="5" t="str">
        <f>IF(DMart_Sales_data[[#This Row],[sales]]&gt;3000,"High Sales",IF(DMart_Sales_data[[#This Row],[sales]]&gt;1000,"Medium Sales","Low Sales"))</f>
        <v>High Sales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19</v>
      </c>
      <c r="L463" s="10" t="s">
        <v>25</v>
      </c>
      <c r="M463" s="10">
        <v>492.8</v>
      </c>
      <c r="N463" s="10" t="s">
        <v>40</v>
      </c>
      <c r="O463" s="12" t="s">
        <v>67</v>
      </c>
      <c r="P463" s="2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505</v>
      </c>
      <c r="B464" s="14" t="s">
        <v>23</v>
      </c>
      <c r="C464" s="4" t="s">
        <v>23</v>
      </c>
      <c r="D464" s="15" t="s">
        <v>33</v>
      </c>
      <c r="E464" s="15">
        <v>743.32</v>
      </c>
      <c r="F464" s="5" t="str">
        <f>IF(DMart_Sales_data[[#This Row],[sales]]&gt;3000,"High Sales",IF(DMart_Sales_data[[#This Row],[sales]]&gt;1000,"Medium Sales","Low Sales"))</f>
        <v>Low Sales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0" t="s">
        <v>16</v>
      </c>
      <c r="O464" s="17" t="s">
        <v>51</v>
      </c>
      <c r="P464" s="2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506</v>
      </c>
      <c r="B465" s="9" t="s">
        <v>28</v>
      </c>
      <c r="C465" s="4" t="s">
        <v>28</v>
      </c>
      <c r="D465" s="10" t="s">
        <v>33</v>
      </c>
      <c r="E465" s="10">
        <v>3343.85</v>
      </c>
      <c r="F465" s="5" t="str">
        <f>IF(DMart_Sales_data[[#This Row],[sales]]&gt;3000,"High Sales",IF(DMart_Sales_data[[#This Row],[sales]]&gt;1000,"Medium Sales","Low Sales"))</f>
        <v>High Sales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20</v>
      </c>
      <c r="M465" s="10">
        <v>668.21</v>
      </c>
      <c r="N465" s="10" t="s">
        <v>26</v>
      </c>
      <c r="O465" s="12" t="s">
        <v>26</v>
      </c>
      <c r="P465" s="2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5" t="str">
        <f>IF(DMart_Sales_data[[#This Row],[sales]]&gt;3000,"High Sales",IF(DMart_Sales_data[[#This Row],[sales]]&gt;1000,"Medium Sales","Low Sales"))</f>
        <v>Medium Sales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25</v>
      </c>
      <c r="M466" s="15">
        <v>551.62</v>
      </c>
      <c r="N466" s="10" t="s">
        <v>99</v>
      </c>
      <c r="O466" s="17" t="s">
        <v>99</v>
      </c>
      <c r="P466" s="2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508</v>
      </c>
      <c r="B467" s="9" t="s">
        <v>575</v>
      </c>
      <c r="C467" s="4" t="s">
        <v>575</v>
      </c>
      <c r="D467" s="10" t="s">
        <v>18</v>
      </c>
      <c r="E467" s="10">
        <v>4510.07</v>
      </c>
      <c r="F467" s="5" t="str">
        <f>IF(DMart_Sales_data[[#This Row],[sales]]&gt;3000,"High Sales",IF(DMart_Sales_data[[#This Row],[sales]]&gt;1000,"Medium Sales","Low Sales"))</f>
        <v>High Sales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19</v>
      </c>
      <c r="L467" s="10" t="s">
        <v>15</v>
      </c>
      <c r="M467" s="10">
        <v>791.13</v>
      </c>
      <c r="N467" s="10" t="s">
        <v>78</v>
      </c>
      <c r="O467" s="12" t="s">
        <v>54</v>
      </c>
      <c r="P467" s="2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509</v>
      </c>
      <c r="B468" s="14" t="s">
        <v>23</v>
      </c>
      <c r="C468" s="4" t="s">
        <v>23</v>
      </c>
      <c r="D468" s="15" t="s">
        <v>18</v>
      </c>
      <c r="E468" s="15">
        <v>3507.5</v>
      </c>
      <c r="F468" s="5" t="str">
        <f>IF(DMart_Sales_data[[#This Row],[sales]]&gt;3000,"High Sales",IF(DMart_Sales_data[[#This Row],[sales]]&gt;1000,"Medium Sales","Low Sales"))</f>
        <v>High Sales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31</v>
      </c>
      <c r="L468" s="15" t="s">
        <v>20</v>
      </c>
      <c r="M468" s="15">
        <v>668.11</v>
      </c>
      <c r="N468" s="10" t="s">
        <v>99</v>
      </c>
      <c r="O468" s="17" t="s">
        <v>64</v>
      </c>
      <c r="P468" s="2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510</v>
      </c>
      <c r="B469" s="9" t="s">
        <v>28</v>
      </c>
      <c r="C469" s="4" t="s">
        <v>28</v>
      </c>
      <c r="D469" s="10" t="s">
        <v>13</v>
      </c>
      <c r="E469" s="10">
        <v>4759.84</v>
      </c>
      <c r="F469" s="5" t="str">
        <f>IF(DMart_Sales_data[[#This Row],[sales]]&gt;3000,"High Sales",IF(DMart_Sales_data[[#This Row],[sales]]&gt;1000,"Medium Sales","Low Sales"))</f>
        <v>High Sales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31</v>
      </c>
      <c r="L469" s="10" t="s">
        <v>25</v>
      </c>
      <c r="M469" s="10">
        <v>1246.55</v>
      </c>
      <c r="N469" s="10" t="s">
        <v>78</v>
      </c>
      <c r="O469" s="12" t="s">
        <v>54</v>
      </c>
      <c r="P469" s="2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5" t="str">
        <f>IF(DMart_Sales_data[[#This Row],[sales]]&gt;3000,"High Sales",IF(DMart_Sales_data[[#This Row],[sales]]&gt;1000,"Medium Sales","Low Sales"))</f>
        <v>Low Sales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19</v>
      </c>
      <c r="L470" s="15" t="s">
        <v>20</v>
      </c>
      <c r="M470" s="15">
        <v>36.9</v>
      </c>
      <c r="N470" s="10" t="s">
        <v>40</v>
      </c>
      <c r="O470" s="17" t="s">
        <v>43</v>
      </c>
      <c r="P470" s="2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512</v>
      </c>
      <c r="B471" s="9" t="s">
        <v>575</v>
      </c>
      <c r="C471" s="4" t="s">
        <v>575</v>
      </c>
      <c r="D471" s="10" t="s">
        <v>33</v>
      </c>
      <c r="E471" s="10">
        <v>298.98</v>
      </c>
      <c r="F471" s="5" t="str">
        <f>IF(DMart_Sales_data[[#This Row],[sales]]&gt;3000,"High Sales",IF(DMart_Sales_data[[#This Row],[sales]]&gt;1000,"Medium Sales","Low Sales"))</f>
        <v>Low Sales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20</v>
      </c>
      <c r="M471" s="10">
        <v>53.78</v>
      </c>
      <c r="N471" s="10" t="s">
        <v>26</v>
      </c>
      <c r="O471" s="12" t="s">
        <v>26</v>
      </c>
      <c r="P471" s="2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513</v>
      </c>
      <c r="B472" s="14" t="s">
        <v>23</v>
      </c>
      <c r="C472" s="4" t="s">
        <v>23</v>
      </c>
      <c r="D472" s="15" t="s">
        <v>36</v>
      </c>
      <c r="E472" s="15">
        <v>4870.54</v>
      </c>
      <c r="F472" s="5" t="str">
        <f>IF(DMart_Sales_data[[#This Row],[sales]]&gt;3000,"High Sales",IF(DMart_Sales_data[[#This Row],[sales]]&gt;1000,"Medium Sales","Low Sales"))</f>
        <v>High Sales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25</v>
      </c>
      <c r="M472" s="15">
        <v>397.26</v>
      </c>
      <c r="N472" s="10" t="s">
        <v>99</v>
      </c>
      <c r="O472" s="17" t="s">
        <v>99</v>
      </c>
      <c r="P472" s="2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514</v>
      </c>
      <c r="B473" s="9" t="s">
        <v>28</v>
      </c>
      <c r="C473" s="4" t="s">
        <v>28</v>
      </c>
      <c r="D473" s="10" t="s">
        <v>13</v>
      </c>
      <c r="E473" s="10">
        <v>492.94</v>
      </c>
      <c r="F473" s="5" t="str">
        <f>IF(DMart_Sales_data[[#This Row],[sales]]&gt;3000,"High Sales",IF(DMart_Sales_data[[#This Row],[sales]]&gt;1000,"Medium Sales","Low Sales"))</f>
        <v>Low Sales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31</v>
      </c>
      <c r="L473" s="10" t="s">
        <v>20</v>
      </c>
      <c r="M473" s="10">
        <v>109.12</v>
      </c>
      <c r="N473" s="10" t="s">
        <v>40</v>
      </c>
      <c r="O473" s="12" t="s">
        <v>40</v>
      </c>
      <c r="P473" s="2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5" t="str">
        <f>IF(DMart_Sales_data[[#This Row],[sales]]&gt;3000,"High Sales",IF(DMart_Sales_data[[#This Row],[sales]]&gt;1000,"Medium Sales","Low Sales"))</f>
        <v>Medium Sales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31</v>
      </c>
      <c r="L474" s="15" t="s">
        <v>25</v>
      </c>
      <c r="M474" s="15">
        <v>545.08000000000004</v>
      </c>
      <c r="N474" s="10" t="s">
        <v>78</v>
      </c>
      <c r="O474" s="17" t="s">
        <v>54</v>
      </c>
      <c r="P474" s="2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516</v>
      </c>
      <c r="B475" s="9" t="s">
        <v>575</v>
      </c>
      <c r="C475" s="4" t="s">
        <v>575</v>
      </c>
      <c r="D475" s="10" t="s">
        <v>24</v>
      </c>
      <c r="E475" s="10">
        <v>3284.86</v>
      </c>
      <c r="F475" s="5" t="str">
        <f>IF(DMart_Sales_data[[#This Row],[sales]]&gt;3000,"High Sales",IF(DMart_Sales_data[[#This Row],[sales]]&gt;1000,"Medium Sales","Low Sales"))</f>
        <v>High Sales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25</v>
      </c>
      <c r="M475" s="10">
        <v>512.98</v>
      </c>
      <c r="N475" s="10" t="s">
        <v>34</v>
      </c>
      <c r="O475" s="12" t="s">
        <v>57</v>
      </c>
      <c r="P475" s="2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517</v>
      </c>
      <c r="B476" s="14" t="s">
        <v>23</v>
      </c>
      <c r="C476" s="4" t="s">
        <v>23</v>
      </c>
      <c r="D476" s="15" t="s">
        <v>13</v>
      </c>
      <c r="E476" s="15">
        <v>4412.28</v>
      </c>
      <c r="F476" s="5" t="str">
        <f>IF(DMart_Sales_data[[#This Row],[sales]]&gt;3000,"High Sales",IF(DMart_Sales_data[[#This Row],[sales]]&gt;1000,"Medium Sales","Low Sales"))</f>
        <v>High Sales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19</v>
      </c>
      <c r="L476" s="15" t="s">
        <v>25</v>
      </c>
      <c r="M476" s="15">
        <v>921.96</v>
      </c>
      <c r="N476" s="10" t="s">
        <v>16</v>
      </c>
      <c r="O476" s="17" t="s">
        <v>16</v>
      </c>
      <c r="P476" s="2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518</v>
      </c>
      <c r="B477" s="9" t="s">
        <v>28</v>
      </c>
      <c r="C477" s="4" t="s">
        <v>28</v>
      </c>
      <c r="D477" s="10" t="s">
        <v>33</v>
      </c>
      <c r="E477" s="10">
        <v>1347.43</v>
      </c>
      <c r="F477" s="5" t="str">
        <f>IF(DMart_Sales_data[[#This Row],[sales]]&gt;3000,"High Sales",IF(DMart_Sales_data[[#This Row],[sales]]&gt;1000,"Medium Sales","Low Sales"))</f>
        <v>Medium Sales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31</v>
      </c>
      <c r="L477" s="10" t="s">
        <v>15</v>
      </c>
      <c r="M477" s="10">
        <v>191.82</v>
      </c>
      <c r="N477" s="10" t="s">
        <v>99</v>
      </c>
      <c r="O477" s="12" t="s">
        <v>64</v>
      </c>
      <c r="P477" s="2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5" t="str">
        <f>IF(DMart_Sales_data[[#This Row],[sales]]&gt;3000,"High Sales",IF(DMart_Sales_data[[#This Row],[sales]]&gt;1000,"Medium Sales","Low Sales"))</f>
        <v>Low Sales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19</v>
      </c>
      <c r="L478" s="15" t="s">
        <v>15</v>
      </c>
      <c r="M478" s="15">
        <v>57.92</v>
      </c>
      <c r="N478" s="10" t="s">
        <v>26</v>
      </c>
      <c r="O478" s="17" t="s">
        <v>26</v>
      </c>
      <c r="P478" s="2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520</v>
      </c>
      <c r="B479" s="9" t="s">
        <v>575</v>
      </c>
      <c r="C479" s="4" t="s">
        <v>575</v>
      </c>
      <c r="D479" s="10" t="s">
        <v>33</v>
      </c>
      <c r="E479" s="10">
        <v>2654.31</v>
      </c>
      <c r="F479" s="5" t="str">
        <f>IF(DMart_Sales_data[[#This Row],[sales]]&gt;3000,"High Sales",IF(DMart_Sales_data[[#This Row],[sales]]&gt;1000,"Medium Sales","Low Sales"))</f>
        <v>Medium Sales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19</v>
      </c>
      <c r="L479" s="10" t="s">
        <v>20</v>
      </c>
      <c r="M479" s="10">
        <v>523.78</v>
      </c>
      <c r="N479" s="10" t="s">
        <v>40</v>
      </c>
      <c r="O479" s="12" t="s">
        <v>43</v>
      </c>
      <c r="P479" s="2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521</v>
      </c>
      <c r="B480" s="14" t="s">
        <v>23</v>
      </c>
      <c r="C480" s="4" t="s">
        <v>23</v>
      </c>
      <c r="D480" s="15" t="s">
        <v>33</v>
      </c>
      <c r="E480" s="15">
        <v>2408.4499999999998</v>
      </c>
      <c r="F480" s="5" t="str">
        <f>IF(DMart_Sales_data[[#This Row],[sales]]&gt;3000,"High Sales",IF(DMart_Sales_data[[#This Row],[sales]]&gt;1000,"Medium Sales","Low Sales"))</f>
        <v>Medium Sales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25</v>
      </c>
      <c r="M480" s="15">
        <v>485.96</v>
      </c>
      <c r="N480" s="10" t="s">
        <v>40</v>
      </c>
      <c r="O480" s="17" t="s">
        <v>67</v>
      </c>
      <c r="P480" s="2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522</v>
      </c>
      <c r="B481" s="9" t="s">
        <v>28</v>
      </c>
      <c r="C481" s="4" t="s">
        <v>28</v>
      </c>
      <c r="D481" s="10" t="s">
        <v>24</v>
      </c>
      <c r="E481" s="10">
        <v>1603.78</v>
      </c>
      <c r="F481" s="5" t="str">
        <f>IF(DMart_Sales_data[[#This Row],[sales]]&gt;3000,"High Sales",IF(DMart_Sales_data[[#This Row],[sales]]&gt;1000,"Medium Sales","Low Sales"))</f>
        <v>Medium Sales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19</v>
      </c>
      <c r="L481" s="10" t="s">
        <v>25</v>
      </c>
      <c r="M481" s="10">
        <v>149.71</v>
      </c>
      <c r="N481" s="10" t="s">
        <v>99</v>
      </c>
      <c r="O481" s="12" t="s">
        <v>99</v>
      </c>
      <c r="P481" s="2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5" t="str">
        <f>IF(DMart_Sales_data[[#This Row],[sales]]&gt;3000,"High Sales",IF(DMart_Sales_data[[#This Row],[sales]]&gt;1000,"Medium Sales","Low Sales"))</f>
        <v>High Sales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25</v>
      </c>
      <c r="M482" s="15">
        <v>226.6</v>
      </c>
      <c r="N482" s="10" t="s">
        <v>99</v>
      </c>
      <c r="O482" s="17" t="s">
        <v>62</v>
      </c>
      <c r="P482" s="2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524</v>
      </c>
      <c r="B483" s="9" t="s">
        <v>575</v>
      </c>
      <c r="C483" s="4" t="s">
        <v>575</v>
      </c>
      <c r="D483" s="10" t="s">
        <v>24</v>
      </c>
      <c r="E483" s="10">
        <v>3771.68</v>
      </c>
      <c r="F483" s="5" t="str">
        <f>IF(DMart_Sales_data[[#This Row],[sales]]&gt;3000,"High Sales",IF(DMart_Sales_data[[#This Row],[sales]]&gt;1000,"Medium Sales","Low Sales"))</f>
        <v>High Sales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19</v>
      </c>
      <c r="L483" s="10" t="s">
        <v>15</v>
      </c>
      <c r="M483" s="10">
        <v>778.64</v>
      </c>
      <c r="N483" s="10" t="s">
        <v>34</v>
      </c>
      <c r="O483" s="12" t="s">
        <v>57</v>
      </c>
      <c r="P483" s="2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525</v>
      </c>
      <c r="B484" s="14" t="s">
        <v>23</v>
      </c>
      <c r="C484" s="4" t="s">
        <v>23</v>
      </c>
      <c r="D484" s="15" t="s">
        <v>33</v>
      </c>
      <c r="E484" s="15">
        <v>4304.7700000000004</v>
      </c>
      <c r="F484" s="5" t="str">
        <f>IF(DMart_Sales_data[[#This Row],[sales]]&gt;3000,"High Sales",IF(DMart_Sales_data[[#This Row],[sales]]&gt;1000,"Medium Sales","Low Sales"))</f>
        <v>High Sales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31</v>
      </c>
      <c r="L484" s="15" t="s">
        <v>25</v>
      </c>
      <c r="M484" s="15">
        <v>336.04</v>
      </c>
      <c r="N484" s="10" t="s">
        <v>99</v>
      </c>
      <c r="O484" s="17" t="s">
        <v>64</v>
      </c>
      <c r="P484" s="2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526</v>
      </c>
      <c r="B485" s="9" t="s">
        <v>28</v>
      </c>
      <c r="C485" s="4" t="s">
        <v>28</v>
      </c>
      <c r="D485" s="10" t="s">
        <v>13</v>
      </c>
      <c r="E485" s="10">
        <v>892.86</v>
      </c>
      <c r="F485" s="5" t="str">
        <f>IF(DMart_Sales_data[[#This Row],[sales]]&gt;3000,"High Sales",IF(DMart_Sales_data[[#This Row],[sales]]&gt;1000,"Medium Sales","Low Sales"))</f>
        <v>Low Sales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20</v>
      </c>
      <c r="M485" s="10">
        <v>74.44</v>
      </c>
      <c r="N485" s="10" t="s">
        <v>16</v>
      </c>
      <c r="O485" s="12" t="s">
        <v>94</v>
      </c>
      <c r="P485" s="2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5" t="str">
        <f>IF(DMart_Sales_data[[#This Row],[sales]]&gt;3000,"High Sales",IF(DMart_Sales_data[[#This Row],[sales]]&gt;1000,"Medium Sales","Low Sales"))</f>
        <v>High Sales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20</v>
      </c>
      <c r="M486" s="15">
        <v>317.56</v>
      </c>
      <c r="N486" s="10" t="s">
        <v>99</v>
      </c>
      <c r="O486" s="17" t="s">
        <v>62</v>
      </c>
      <c r="P486" s="2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528</v>
      </c>
      <c r="B487" s="9" t="s">
        <v>575</v>
      </c>
      <c r="C487" s="4" t="s">
        <v>575</v>
      </c>
      <c r="D487" s="10" t="s">
        <v>36</v>
      </c>
      <c r="E487" s="10">
        <v>4878</v>
      </c>
      <c r="F487" s="5" t="str">
        <f>IF(DMart_Sales_data[[#This Row],[sales]]&gt;3000,"High Sales",IF(DMart_Sales_data[[#This Row],[sales]]&gt;1000,"Medium Sales","Low Sales"))</f>
        <v>High Sales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25</v>
      </c>
      <c r="M487" s="10">
        <v>731.64</v>
      </c>
      <c r="N487" s="10" t="s">
        <v>99</v>
      </c>
      <c r="O487" s="12" t="s">
        <v>99</v>
      </c>
      <c r="P487" s="2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529</v>
      </c>
      <c r="B488" s="14" t="s">
        <v>23</v>
      </c>
      <c r="C488" s="4" t="s">
        <v>23</v>
      </c>
      <c r="D488" s="15" t="s">
        <v>33</v>
      </c>
      <c r="E488" s="15">
        <v>3098.38</v>
      </c>
      <c r="F488" s="5" t="str">
        <f>IF(DMart_Sales_data[[#This Row],[sales]]&gt;3000,"High Sales",IF(DMart_Sales_data[[#This Row],[sales]]&gt;1000,"Medium Sales","Low Sales"))</f>
        <v>High Sales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20</v>
      </c>
      <c r="M488" s="15">
        <v>344.48</v>
      </c>
      <c r="N488" s="10" t="s">
        <v>26</v>
      </c>
      <c r="O488" s="17" t="s">
        <v>26</v>
      </c>
      <c r="P488" s="2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530</v>
      </c>
      <c r="B489" s="9" t="s">
        <v>28</v>
      </c>
      <c r="C489" s="4" t="s">
        <v>28</v>
      </c>
      <c r="D489" s="10" t="s">
        <v>24</v>
      </c>
      <c r="E489" s="10">
        <v>939.69</v>
      </c>
      <c r="F489" s="5" t="str">
        <f>IF(DMart_Sales_data[[#This Row],[sales]]&gt;3000,"High Sales",IF(DMart_Sales_data[[#This Row],[sales]]&gt;1000,"Medium Sales","Low Sales"))</f>
        <v>Low Sales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31</v>
      </c>
      <c r="L489" s="10" t="s">
        <v>20</v>
      </c>
      <c r="M489" s="10">
        <v>270.99</v>
      </c>
      <c r="N489" s="10" t="s">
        <v>34</v>
      </c>
      <c r="O489" s="12" t="s">
        <v>29</v>
      </c>
      <c r="P489" s="2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5" t="str">
        <f>IF(DMart_Sales_data[[#This Row],[sales]]&gt;3000,"High Sales",IF(DMart_Sales_data[[#This Row],[sales]]&gt;1000,"Medium Sales","Low Sales"))</f>
        <v>High Sales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20</v>
      </c>
      <c r="M490" s="15">
        <v>1091.53</v>
      </c>
      <c r="N490" s="10" t="s">
        <v>26</v>
      </c>
      <c r="O490" s="17" t="s">
        <v>47</v>
      </c>
      <c r="P490" s="2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532</v>
      </c>
      <c r="B491" s="9" t="s">
        <v>575</v>
      </c>
      <c r="C491" s="4" t="s">
        <v>575</v>
      </c>
      <c r="D491" s="10" t="s">
        <v>24</v>
      </c>
      <c r="E491" s="10">
        <v>2688.79</v>
      </c>
      <c r="F491" s="5" t="str">
        <f>IF(DMart_Sales_data[[#This Row],[sales]]&gt;3000,"High Sales",IF(DMart_Sales_data[[#This Row],[sales]]&gt;1000,"Medium Sales","Low Sales"))</f>
        <v>Medium Sales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25</v>
      </c>
      <c r="M491" s="10">
        <v>264.99</v>
      </c>
      <c r="N491" s="10" t="s">
        <v>78</v>
      </c>
      <c r="O491" s="12" t="s">
        <v>78</v>
      </c>
      <c r="P491" s="2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533</v>
      </c>
      <c r="B492" s="14" t="s">
        <v>23</v>
      </c>
      <c r="C492" s="4" t="s">
        <v>23</v>
      </c>
      <c r="D492" s="15" t="s">
        <v>24</v>
      </c>
      <c r="E492" s="15">
        <v>4216.29</v>
      </c>
      <c r="F492" s="5" t="str">
        <f>IF(DMart_Sales_data[[#This Row],[sales]]&gt;3000,"High Sales",IF(DMart_Sales_data[[#This Row],[sales]]&gt;1000,"Medium Sales","Low Sales"))</f>
        <v>High Sales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31</v>
      </c>
      <c r="L492" s="15" t="s">
        <v>25</v>
      </c>
      <c r="M492" s="15">
        <v>1058.17</v>
      </c>
      <c r="N492" s="10" t="s">
        <v>34</v>
      </c>
      <c r="O492" s="17" t="s">
        <v>29</v>
      </c>
      <c r="P492" s="2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534</v>
      </c>
      <c r="B493" s="9" t="s">
        <v>28</v>
      </c>
      <c r="C493" s="4" t="s">
        <v>28</v>
      </c>
      <c r="D493" s="10" t="s">
        <v>13</v>
      </c>
      <c r="E493" s="10">
        <v>831.87</v>
      </c>
      <c r="F493" s="5" t="str">
        <f>IF(DMart_Sales_data[[#This Row],[sales]]&gt;3000,"High Sales",IF(DMart_Sales_data[[#This Row],[sales]]&gt;1000,"Medium Sales","Low Sales"))</f>
        <v>Low Sales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19</v>
      </c>
      <c r="L493" s="10" t="s">
        <v>25</v>
      </c>
      <c r="M493" s="10">
        <v>99.89</v>
      </c>
      <c r="N493" s="10" t="s">
        <v>40</v>
      </c>
      <c r="O493" s="12" t="s">
        <v>43</v>
      </c>
      <c r="P493" s="2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5" t="str">
        <f>IF(DMart_Sales_data[[#This Row],[sales]]&gt;3000,"High Sales",IF(DMart_Sales_data[[#This Row],[sales]]&gt;1000,"Medium Sales","Low Sales"))</f>
        <v>High Sales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31</v>
      </c>
      <c r="L494" s="15" t="s">
        <v>25</v>
      </c>
      <c r="M494" s="15">
        <v>840.81</v>
      </c>
      <c r="N494" s="10" t="s">
        <v>26</v>
      </c>
      <c r="O494" s="17" t="s">
        <v>47</v>
      </c>
      <c r="P494" s="2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536</v>
      </c>
      <c r="B495" s="9" t="s">
        <v>575</v>
      </c>
      <c r="C495" s="4" t="s">
        <v>575</v>
      </c>
      <c r="D495" s="10" t="s">
        <v>36</v>
      </c>
      <c r="E495" s="10">
        <v>4571.83</v>
      </c>
      <c r="F495" s="5" t="str">
        <f>IF(DMart_Sales_data[[#This Row],[sales]]&gt;3000,"High Sales",IF(DMart_Sales_data[[#This Row],[sales]]&gt;1000,"Medium Sales","Low Sales"))</f>
        <v>High Sales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19</v>
      </c>
      <c r="L495" s="10" t="s">
        <v>20</v>
      </c>
      <c r="M495" s="10">
        <v>764.68</v>
      </c>
      <c r="N495" s="10" t="s">
        <v>16</v>
      </c>
      <c r="O495" s="12" t="s">
        <v>16</v>
      </c>
      <c r="P495" s="2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537</v>
      </c>
      <c r="B496" s="14" t="s">
        <v>23</v>
      </c>
      <c r="C496" s="4" t="s">
        <v>23</v>
      </c>
      <c r="D496" s="15" t="s">
        <v>33</v>
      </c>
      <c r="E496" s="15">
        <v>2706.89</v>
      </c>
      <c r="F496" s="5" t="str">
        <f>IF(DMart_Sales_data[[#This Row],[sales]]&gt;3000,"High Sales",IF(DMart_Sales_data[[#This Row],[sales]]&gt;1000,"Medium Sales","Low Sales"))</f>
        <v>Medium Sales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25</v>
      </c>
      <c r="M496" s="15">
        <v>460.15</v>
      </c>
      <c r="N496" s="10" t="s">
        <v>78</v>
      </c>
      <c r="O496" s="17" t="s">
        <v>21</v>
      </c>
      <c r="P496" s="2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538</v>
      </c>
      <c r="B497" s="9" t="s">
        <v>28</v>
      </c>
      <c r="C497" s="4" t="s">
        <v>28</v>
      </c>
      <c r="D497" s="10" t="s">
        <v>18</v>
      </c>
      <c r="E497" s="10">
        <v>1514.43</v>
      </c>
      <c r="F497" s="5" t="str">
        <f>IF(DMart_Sales_data[[#This Row],[sales]]&gt;3000,"High Sales",IF(DMart_Sales_data[[#This Row],[sales]]&gt;1000,"Medium Sales","Low Sales"))</f>
        <v>Medium Sales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10" t="s">
        <v>78</v>
      </c>
      <c r="O497" s="12" t="s">
        <v>21</v>
      </c>
      <c r="P497" s="2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5" t="str">
        <f>IF(DMart_Sales_data[[#This Row],[sales]]&gt;3000,"High Sales",IF(DMart_Sales_data[[#This Row],[sales]]&gt;1000,"Medium Sales","Low Sales"))</f>
        <v>Low Sales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19</v>
      </c>
      <c r="L498" s="15" t="s">
        <v>15</v>
      </c>
      <c r="M498" s="15">
        <v>80.92</v>
      </c>
      <c r="N498" s="10" t="s">
        <v>16</v>
      </c>
      <c r="O498" s="17" t="s">
        <v>94</v>
      </c>
      <c r="P498" s="2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540</v>
      </c>
      <c r="B499" s="9" t="s">
        <v>575</v>
      </c>
      <c r="C499" s="4" t="s">
        <v>575</v>
      </c>
      <c r="D499" s="10" t="s">
        <v>33</v>
      </c>
      <c r="E499" s="10">
        <v>1550.13</v>
      </c>
      <c r="F499" s="5" t="str">
        <f>IF(DMart_Sales_data[[#This Row],[sales]]&gt;3000,"High Sales",IF(DMart_Sales_data[[#This Row],[sales]]&gt;1000,"Medium Sales","Low Sales"))</f>
        <v>Medium Sales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10" t="s">
        <v>16</v>
      </c>
      <c r="O499" s="12" t="s">
        <v>94</v>
      </c>
      <c r="P499" s="2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7" type="noConversion"/>
  <conditionalFormatting sqref="E1:F1048576">
    <cfRule type="top10" dxfId="4" priority="5" bottom="1" rank="10"/>
    <cfRule type="top10" dxfId="3" priority="6" rank="10"/>
  </conditionalFormatting>
  <conditionalFormatting sqref="G1:G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2" priority="1" operator="greaterThan">
      <formula>5</formula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80EDA-8FF2-48C2-BF4C-4E03317F8CE3}">
  <dimension ref="B1:H10"/>
  <sheetViews>
    <sheetView workbookViewId="0">
      <selection activeCell="H6" sqref="H6"/>
    </sheetView>
  </sheetViews>
  <sheetFormatPr defaultRowHeight="14.4" x14ac:dyDescent="0.3"/>
  <cols>
    <col min="2" max="2" width="12.88671875" customWidth="1"/>
    <col min="3" max="3" width="14" customWidth="1"/>
    <col min="4" max="4" width="11.77734375" customWidth="1"/>
    <col min="7" max="7" width="21.5546875" bestFit="1" customWidth="1"/>
  </cols>
  <sheetData>
    <row r="1" spans="2:8" ht="15" thickBot="1" x14ac:dyDescent="0.35"/>
    <row r="2" spans="2:8" ht="21" thickBot="1" x14ac:dyDescent="0.35">
      <c r="B2" s="46" t="s">
        <v>1</v>
      </c>
      <c r="C2" s="46" t="s">
        <v>637</v>
      </c>
      <c r="D2" s="46" t="s">
        <v>576</v>
      </c>
    </row>
    <row r="3" spans="2:8" ht="15" x14ac:dyDescent="0.3">
      <c r="B3" s="47" t="s">
        <v>638</v>
      </c>
      <c r="C3" s="47" t="s">
        <v>639</v>
      </c>
      <c r="D3" s="48">
        <v>2300</v>
      </c>
      <c r="G3" s="49" t="s">
        <v>646</v>
      </c>
      <c r="H3">
        <f>SUMIF(B3:B10,"Fruits",D3:D10)</f>
        <v>2000</v>
      </c>
    </row>
    <row r="4" spans="2:8" ht="15" x14ac:dyDescent="0.3">
      <c r="B4" s="47" t="s">
        <v>638</v>
      </c>
      <c r="C4" s="47" t="s">
        <v>640</v>
      </c>
      <c r="D4" s="48">
        <v>5500</v>
      </c>
      <c r="G4" s="49" t="s">
        <v>647</v>
      </c>
      <c r="H4">
        <f>SUMIF(B3:B10,"Vegetables",D3:D10)</f>
        <v>12000</v>
      </c>
    </row>
    <row r="5" spans="2:8" ht="15" x14ac:dyDescent="0.3">
      <c r="B5" s="47" t="s">
        <v>641</v>
      </c>
      <c r="C5" s="47" t="s">
        <v>642</v>
      </c>
      <c r="D5" s="48">
        <v>800</v>
      </c>
      <c r="G5" s="49" t="s">
        <v>648</v>
      </c>
      <c r="H5">
        <f>SUMIF(B3:B10,"",D3:D10)</f>
        <v>1900</v>
      </c>
    </row>
    <row r="6" spans="2:8" ht="15" x14ac:dyDescent="0.3">
      <c r="B6" s="47"/>
      <c r="C6" s="47" t="s">
        <v>643</v>
      </c>
      <c r="D6" s="48">
        <v>400</v>
      </c>
    </row>
    <row r="7" spans="2:8" ht="15" x14ac:dyDescent="0.3">
      <c r="B7" s="47" t="s">
        <v>638</v>
      </c>
      <c r="C7" s="47" t="s">
        <v>644</v>
      </c>
      <c r="D7" s="48">
        <v>4200</v>
      </c>
    </row>
    <row r="8" spans="2:8" ht="15" x14ac:dyDescent="0.3">
      <c r="B8" s="47"/>
      <c r="C8" s="47" t="s">
        <v>649</v>
      </c>
      <c r="D8" s="48">
        <v>1000</v>
      </c>
    </row>
    <row r="9" spans="2:8" ht="15" x14ac:dyDescent="0.3">
      <c r="B9" s="47"/>
      <c r="C9" s="47" t="s">
        <v>650</v>
      </c>
      <c r="D9" s="48">
        <v>500</v>
      </c>
    </row>
    <row r="10" spans="2:8" ht="15" x14ac:dyDescent="0.3">
      <c r="B10" s="47" t="s">
        <v>641</v>
      </c>
      <c r="C10" s="47" t="s">
        <v>645</v>
      </c>
      <c r="D10" s="48">
        <v>1200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79" workbookViewId="0">
      <selection activeCell="C9" sqref="C9"/>
    </sheetView>
  </sheetViews>
  <sheetFormatPr defaultRowHeight="14.4" x14ac:dyDescent="0.3"/>
  <cols>
    <col min="1" max="1" width="9.77734375" bestFit="1" customWidth="1"/>
    <col min="2" max="2" width="10.109375" bestFit="1" customWidth="1"/>
    <col min="3" max="3" width="13.6640625" bestFit="1" customWidth="1"/>
    <col min="4" max="4" width="23" bestFit="1" customWidth="1"/>
    <col min="6" max="6" width="14.21875" bestFit="1" customWidth="1"/>
  </cols>
  <sheetData>
    <row r="1" spans="1:7" x14ac:dyDescent="0.3">
      <c r="A1" t="s">
        <v>543</v>
      </c>
      <c r="B1" t="s">
        <v>544</v>
      </c>
      <c r="C1" t="s">
        <v>545</v>
      </c>
      <c r="D1" t="s">
        <v>558</v>
      </c>
      <c r="E1" t="s">
        <v>562</v>
      </c>
      <c r="F1" t="s">
        <v>568</v>
      </c>
      <c r="G1" t="s">
        <v>573</v>
      </c>
    </row>
    <row r="2" spans="1:7" x14ac:dyDescent="0.3">
      <c r="A2" t="s">
        <v>546</v>
      </c>
      <c r="B2" t="s">
        <v>547</v>
      </c>
      <c r="C2" t="s">
        <v>554</v>
      </c>
      <c r="D2" s="24" t="s">
        <v>564</v>
      </c>
      <c r="E2" t="s">
        <v>565</v>
      </c>
      <c r="F2" t="s">
        <v>569</v>
      </c>
    </row>
    <row r="3" spans="1:7" x14ac:dyDescent="0.3">
      <c r="A3" t="s">
        <v>548</v>
      </c>
      <c r="B3" t="s">
        <v>549</v>
      </c>
      <c r="C3" t="s">
        <v>555</v>
      </c>
      <c r="D3" s="24" t="s">
        <v>559</v>
      </c>
      <c r="E3" t="s">
        <v>566</v>
      </c>
      <c r="F3" t="s">
        <v>570</v>
      </c>
    </row>
    <row r="4" spans="1:7" x14ac:dyDescent="0.3">
      <c r="A4" t="s">
        <v>550</v>
      </c>
      <c r="B4" t="s">
        <v>551</v>
      </c>
      <c r="C4" t="s">
        <v>556</v>
      </c>
      <c r="D4" s="24" t="s">
        <v>560</v>
      </c>
      <c r="E4" t="s">
        <v>563</v>
      </c>
      <c r="F4" t="s">
        <v>571</v>
      </c>
    </row>
    <row r="5" spans="1:7" x14ac:dyDescent="0.3">
      <c r="A5" t="s">
        <v>552</v>
      </c>
      <c r="B5" t="s">
        <v>553</v>
      </c>
      <c r="C5" t="s">
        <v>557</v>
      </c>
      <c r="D5" s="24" t="s">
        <v>561</v>
      </c>
      <c r="E5" t="s">
        <v>567</v>
      </c>
      <c r="F5" t="s">
        <v>572</v>
      </c>
    </row>
  </sheetData>
  <hyperlinks>
    <hyperlink ref="D2" r:id="rId1" xr:uid="{251C1345-C753-4A5E-9CF9-4EE057952DBE}"/>
    <hyperlink ref="D3" r:id="rId2" xr:uid="{DB2D2C3F-B4AC-4B0D-9427-A4D019201EB2}"/>
    <hyperlink ref="D4" r:id="rId3" xr:uid="{0C22EFD7-CA78-42BB-9118-E3DC647F9DFC}"/>
    <hyperlink ref="D5" r:id="rId4" xr:uid="{F432DDC1-1E5C-44B2-82FF-8526B4B77EC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P14"/>
  <sheetViews>
    <sheetView zoomScaleNormal="100" workbookViewId="0">
      <selection activeCell="G1" sqref="G1:H4"/>
    </sheetView>
  </sheetViews>
  <sheetFormatPr defaultRowHeight="14.4" x14ac:dyDescent="0.3"/>
  <cols>
    <col min="1" max="1" width="14.44140625" bestFit="1" customWidth="1"/>
    <col min="2" max="2" width="14.109375" bestFit="1" customWidth="1"/>
    <col min="3" max="3" width="10" bestFit="1" customWidth="1"/>
    <col min="4" max="4" width="6" bestFit="1" customWidth="1"/>
    <col min="5" max="5" width="14.5546875" bestFit="1" customWidth="1"/>
    <col min="10" max="10" width="12.5546875" bestFit="1" customWidth="1"/>
    <col min="11" max="11" width="6.109375" bestFit="1" customWidth="1"/>
  </cols>
  <sheetData>
    <row r="1" spans="1:16" x14ac:dyDescent="0.3">
      <c r="A1" s="27" t="s">
        <v>581</v>
      </c>
      <c r="C1" s="28" t="s">
        <v>582</v>
      </c>
      <c r="D1" s="28" t="s">
        <v>576</v>
      </c>
      <c r="E1" s="28" t="s">
        <v>595</v>
      </c>
      <c r="G1" s="28" t="s">
        <v>597</v>
      </c>
      <c r="H1" s="28" t="s">
        <v>598</v>
      </c>
      <c r="I1" s="28" t="s">
        <v>599</v>
      </c>
      <c r="J1" s="28" t="s">
        <v>600</v>
      </c>
      <c r="K1" s="28" t="s">
        <v>601</v>
      </c>
      <c r="L1" s="28"/>
      <c r="O1" s="29" t="s">
        <v>582</v>
      </c>
      <c r="P1" s="29" t="s">
        <v>576</v>
      </c>
    </row>
    <row r="2" spans="1:16" x14ac:dyDescent="0.3">
      <c r="A2" s="26" t="s">
        <v>548</v>
      </c>
      <c r="C2" s="26" t="s">
        <v>588</v>
      </c>
      <c r="D2">
        <v>23454</v>
      </c>
      <c r="E2" t="str" cm="1">
        <f t="array" ref="E2:E8">IF(D2:D8&gt;50000,"Yes","No")</f>
        <v>No</v>
      </c>
      <c r="G2" s="26" t="s">
        <v>548</v>
      </c>
      <c r="H2">
        <v>87</v>
      </c>
      <c r="I2">
        <v>67</v>
      </c>
      <c r="J2">
        <v>56</v>
      </c>
      <c r="K2" t="str">
        <f>IF(AND(H2&gt;=75,I2&gt;=75),"A+","A")</f>
        <v>A</v>
      </c>
      <c r="O2" t="s">
        <v>588</v>
      </c>
      <c r="P2">
        <v>23454</v>
      </c>
    </row>
    <row r="3" spans="1:16" x14ac:dyDescent="0.3">
      <c r="A3" s="26" t="s">
        <v>578</v>
      </c>
      <c r="C3" s="26" t="s">
        <v>587</v>
      </c>
      <c r="D3">
        <v>56567</v>
      </c>
      <c r="E3" t="str">
        <v>Yes</v>
      </c>
      <c r="G3" s="26" t="s">
        <v>579</v>
      </c>
      <c r="H3">
        <v>98</v>
      </c>
      <c r="I3">
        <v>65</v>
      </c>
      <c r="J3">
        <v>45</v>
      </c>
      <c r="K3" t="str">
        <f t="shared" ref="K3:K4" si="0">IF(AND(H3&gt;=75,I3&gt;=75),"A+","A")</f>
        <v>A</v>
      </c>
      <c r="O3" t="s">
        <v>587</v>
      </c>
      <c r="P3">
        <v>56567</v>
      </c>
    </row>
    <row r="4" spans="1:16" x14ac:dyDescent="0.3">
      <c r="A4" s="26" t="s">
        <v>579</v>
      </c>
      <c r="C4" s="26" t="s">
        <v>583</v>
      </c>
      <c r="D4">
        <v>76856</v>
      </c>
      <c r="E4" t="str">
        <v>Yes</v>
      </c>
      <c r="G4" s="26" t="s">
        <v>602</v>
      </c>
      <c r="H4">
        <v>98</v>
      </c>
      <c r="I4">
        <v>89</v>
      </c>
      <c r="J4">
        <v>78</v>
      </c>
      <c r="K4" t="str">
        <f t="shared" si="0"/>
        <v>A+</v>
      </c>
      <c r="O4" t="s">
        <v>583</v>
      </c>
      <c r="P4">
        <v>76856</v>
      </c>
    </row>
    <row r="5" spans="1:16" x14ac:dyDescent="0.3">
      <c r="A5" s="26" t="s">
        <v>580</v>
      </c>
      <c r="C5" s="26" t="s">
        <v>584</v>
      </c>
      <c r="D5">
        <v>76756</v>
      </c>
      <c r="E5" t="str">
        <v>Yes</v>
      </c>
      <c r="O5" t="s">
        <v>584</v>
      </c>
      <c r="P5">
        <v>76756</v>
      </c>
    </row>
    <row r="6" spans="1:16" x14ac:dyDescent="0.3">
      <c r="C6" s="26" t="s">
        <v>585</v>
      </c>
      <c r="D6">
        <v>56456</v>
      </c>
      <c r="E6" t="str">
        <v>Yes</v>
      </c>
      <c r="O6" t="s">
        <v>585</v>
      </c>
      <c r="P6">
        <v>56456</v>
      </c>
    </row>
    <row r="7" spans="1:16" x14ac:dyDescent="0.3">
      <c r="C7" s="26" t="s">
        <v>590</v>
      </c>
      <c r="D7">
        <v>67645</v>
      </c>
      <c r="E7" t="str">
        <v>Yes</v>
      </c>
      <c r="H7" s="26" t="s">
        <v>603</v>
      </c>
      <c r="I7" s="26" t="s">
        <v>604</v>
      </c>
      <c r="J7" s="26" t="s">
        <v>606</v>
      </c>
      <c r="O7" t="s">
        <v>590</v>
      </c>
      <c r="P7">
        <v>67645</v>
      </c>
    </row>
    <row r="8" spans="1:16" x14ac:dyDescent="0.3">
      <c r="C8" s="26" t="s">
        <v>589</v>
      </c>
      <c r="D8">
        <v>49000</v>
      </c>
      <c r="E8" t="str">
        <v>No</v>
      </c>
      <c r="H8" s="26" t="s">
        <v>605</v>
      </c>
      <c r="O8" t="s">
        <v>589</v>
      </c>
      <c r="P8">
        <v>65589</v>
      </c>
    </row>
    <row r="10" spans="1:16" x14ac:dyDescent="0.3">
      <c r="C10" s="26" t="s">
        <v>596</v>
      </c>
      <c r="D10">
        <v>50000</v>
      </c>
    </row>
    <row r="11" spans="1:16" x14ac:dyDescent="0.3">
      <c r="G11" s="30" t="s">
        <v>597</v>
      </c>
      <c r="H11" s="30" t="s">
        <v>607</v>
      </c>
      <c r="I11" s="30" t="s">
        <v>608</v>
      </c>
      <c r="J11" s="30" t="s">
        <v>611</v>
      </c>
    </row>
    <row r="12" spans="1:16" x14ac:dyDescent="0.3">
      <c r="G12" s="26" t="s">
        <v>548</v>
      </c>
      <c r="H12" s="26" t="s">
        <v>609</v>
      </c>
      <c r="I12">
        <v>90</v>
      </c>
      <c r="J12" t="str">
        <f>IF(AND(H12="Nagpur",I12&gt;=75),"Shortlisted","NotShortlisted")</f>
        <v>Shortlisted</v>
      </c>
    </row>
    <row r="13" spans="1:16" x14ac:dyDescent="0.3">
      <c r="G13" s="26" t="s">
        <v>579</v>
      </c>
      <c r="H13" s="26" t="s">
        <v>26</v>
      </c>
      <c r="I13">
        <v>96</v>
      </c>
      <c r="J13" t="str">
        <f>IF(AND(H13="Nagpur",I13=75),"Shortlisted","NotShortlisted")</f>
        <v>NotShortlisted</v>
      </c>
    </row>
    <row r="14" spans="1:16" x14ac:dyDescent="0.3">
      <c r="G14" s="26" t="s">
        <v>602</v>
      </c>
      <c r="H14" s="26" t="s">
        <v>610</v>
      </c>
      <c r="I14">
        <v>78</v>
      </c>
    </row>
  </sheetData>
  <sortState xmlns:xlrd2="http://schemas.microsoft.com/office/spreadsheetml/2017/richdata2" ref="C2:D8">
    <sortCondition ref="C2:C8" customList="January,February,March,April,May,June,July,August,September,October,November,December"/>
  </sortState>
  <phoneticPr fontId="13" type="noConversion"/>
  <conditionalFormatting sqref="D2:D8">
    <cfRule type="cellIs" dxfId="1" priority="1" operator="lessThan">
      <formula>50000</formula>
    </cfRule>
    <cfRule type="cellIs" dxfId="0" priority="3" operator="greaterThan">
      <formula>50000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C12"/>
  <sheetViews>
    <sheetView zoomScale="118" workbookViewId="0">
      <selection activeCell="D14" sqref="D14"/>
    </sheetView>
  </sheetViews>
  <sheetFormatPr defaultRowHeight="14.4" x14ac:dyDescent="0.3"/>
  <cols>
    <col min="1" max="1" width="11.44140625" bestFit="1" customWidth="1"/>
  </cols>
  <sheetData>
    <row r="1" spans="1:3" x14ac:dyDescent="0.3">
      <c r="A1" s="26" t="s">
        <v>588</v>
      </c>
      <c r="C1" s="26" t="s">
        <v>577</v>
      </c>
    </row>
    <row r="2" spans="1:3" x14ac:dyDescent="0.3">
      <c r="A2" s="26" t="s">
        <v>587</v>
      </c>
      <c r="C2" s="26" t="s">
        <v>548</v>
      </c>
    </row>
    <row r="3" spans="1:3" x14ac:dyDescent="0.3">
      <c r="A3" s="26" t="s">
        <v>583</v>
      </c>
      <c r="C3" s="26" t="s">
        <v>578</v>
      </c>
    </row>
    <row r="4" spans="1:3" x14ac:dyDescent="0.3">
      <c r="A4" s="26" t="s">
        <v>584</v>
      </c>
      <c r="C4" s="26" t="s">
        <v>579</v>
      </c>
    </row>
    <row r="5" spans="1:3" x14ac:dyDescent="0.3">
      <c r="A5" s="26" t="s">
        <v>585</v>
      </c>
      <c r="C5" s="26" t="s">
        <v>580</v>
      </c>
    </row>
    <row r="6" spans="1:3" x14ac:dyDescent="0.3">
      <c r="A6" s="26" t="s">
        <v>586</v>
      </c>
      <c r="C6" s="26"/>
    </row>
    <row r="7" spans="1:3" x14ac:dyDescent="0.3">
      <c r="A7" s="26" t="s">
        <v>590</v>
      </c>
    </row>
    <row r="8" spans="1:3" x14ac:dyDescent="0.3">
      <c r="A8" s="26" t="s">
        <v>591</v>
      </c>
    </row>
    <row r="9" spans="1:3" x14ac:dyDescent="0.3">
      <c r="A9" s="26" t="s">
        <v>589</v>
      </c>
    </row>
    <row r="10" spans="1:3" x14ac:dyDescent="0.3">
      <c r="A10" s="26" t="s">
        <v>592</v>
      </c>
    </row>
    <row r="11" spans="1:3" x14ac:dyDescent="0.3">
      <c r="A11" s="26" t="s">
        <v>593</v>
      </c>
    </row>
    <row r="12" spans="1:3" x14ac:dyDescent="0.3">
      <c r="A12" s="26" t="s">
        <v>594</v>
      </c>
    </row>
  </sheetData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E088A-D95A-4C0D-9843-00AD75E4B63B}">
  <dimension ref="B3:H38"/>
  <sheetViews>
    <sheetView zoomScale="109" workbookViewId="0">
      <selection activeCell="J11" sqref="J11"/>
    </sheetView>
  </sheetViews>
  <sheetFormatPr defaultRowHeight="14.4" x14ac:dyDescent="0.3"/>
  <cols>
    <col min="4" max="4" width="20.44140625" bestFit="1" customWidth="1"/>
    <col min="5" max="5" width="15.6640625" customWidth="1"/>
    <col min="6" max="6" width="9.88671875" customWidth="1"/>
    <col min="7" max="7" width="13.44140625" bestFit="1" customWidth="1"/>
    <col min="10" max="10" width="11.44140625" bestFit="1" customWidth="1"/>
  </cols>
  <sheetData>
    <row r="3" spans="2:8" x14ac:dyDescent="0.3">
      <c r="B3" s="32" t="s">
        <v>597</v>
      </c>
      <c r="C3" s="32" t="s">
        <v>608</v>
      </c>
      <c r="D3" s="32" t="s">
        <v>601</v>
      </c>
      <c r="F3" s="37" t="s">
        <v>612</v>
      </c>
      <c r="G3" s="38" t="s">
        <v>615</v>
      </c>
    </row>
    <row r="4" spans="2:8" x14ac:dyDescent="0.3">
      <c r="B4" s="33" t="s">
        <v>548</v>
      </c>
      <c r="C4" s="34">
        <v>90</v>
      </c>
      <c r="D4" s="34" t="str">
        <f>IF(C4&gt;=90,"A++",IF(C4&gt;=75,"A+",IF(C4&gt;=60,"A",IF(C4&gt;40,"B","Fail"))))</f>
        <v>A++</v>
      </c>
      <c r="F4" s="39" t="s">
        <v>613</v>
      </c>
      <c r="G4" s="40" t="s">
        <v>603</v>
      </c>
    </row>
    <row r="5" spans="2:8" x14ac:dyDescent="0.3">
      <c r="B5" s="33" t="s">
        <v>579</v>
      </c>
      <c r="C5" s="34">
        <v>36</v>
      </c>
      <c r="D5" s="34" t="str">
        <f>IF(C5&gt;=90,"A++",IF(C5&gt;=75,"A+",IF(C5&gt;=60,"A",IF(C5&gt;40,"B","Fail"))))</f>
        <v>Fail</v>
      </c>
      <c r="F5" s="39" t="s">
        <v>614</v>
      </c>
      <c r="G5" s="40" t="s">
        <v>616</v>
      </c>
    </row>
    <row r="6" spans="2:8" x14ac:dyDescent="0.3">
      <c r="B6" s="33" t="s">
        <v>602</v>
      </c>
      <c r="C6" s="34">
        <v>88</v>
      </c>
      <c r="D6" s="34" t="str">
        <f t="shared" ref="D6:D8" si="0">IF(C6&gt;=90,"A++",IF(C6&gt;=75,"A+",IF(C6&gt;=60,"A",IF(C6&gt;40,"B","Fail"))))</f>
        <v>A+</v>
      </c>
      <c r="F6" s="39" t="s">
        <v>617</v>
      </c>
      <c r="G6" s="40" t="s">
        <v>605</v>
      </c>
    </row>
    <row r="7" spans="2:8" x14ac:dyDescent="0.3">
      <c r="B7" s="35" t="s">
        <v>546</v>
      </c>
      <c r="C7" s="34">
        <v>50</v>
      </c>
      <c r="D7" s="34" t="str">
        <f t="shared" si="0"/>
        <v>B</v>
      </c>
      <c r="F7" s="41" t="s">
        <v>618</v>
      </c>
      <c r="G7" s="42" t="s">
        <v>619</v>
      </c>
    </row>
    <row r="8" spans="2:8" x14ac:dyDescent="0.3">
      <c r="B8" s="35" t="s">
        <v>620</v>
      </c>
      <c r="C8" s="34">
        <v>62</v>
      </c>
      <c r="D8" s="34" t="str">
        <f t="shared" si="0"/>
        <v>A</v>
      </c>
    </row>
    <row r="12" spans="2:8" x14ac:dyDescent="0.3">
      <c r="B12" s="32" t="s">
        <v>597</v>
      </c>
      <c r="C12" s="32" t="s">
        <v>576</v>
      </c>
      <c r="D12" s="32" t="s">
        <v>621</v>
      </c>
      <c r="E12" s="32" t="s">
        <v>624</v>
      </c>
      <c r="G12" s="37" t="s">
        <v>625</v>
      </c>
      <c r="H12" s="38" t="s">
        <v>621</v>
      </c>
    </row>
    <row r="13" spans="2:8" x14ac:dyDescent="0.3">
      <c r="B13" s="33" t="s">
        <v>548</v>
      </c>
      <c r="C13" s="34">
        <v>70000</v>
      </c>
      <c r="D13" s="36">
        <f>IF(C13&gt;=$G$13,15%,IF(C13&gt;=$G$14,10%,IF(C13&gt;=$G$15,5%,0%)))</f>
        <v>0.1</v>
      </c>
      <c r="E13" s="34">
        <f>C13*D13</f>
        <v>7000</v>
      </c>
      <c r="G13" s="39">
        <v>75000</v>
      </c>
      <c r="H13" s="40">
        <v>15</v>
      </c>
    </row>
    <row r="14" spans="2:8" x14ac:dyDescent="0.3">
      <c r="B14" s="33" t="s">
        <v>579</v>
      </c>
      <c r="C14" s="34">
        <v>50000</v>
      </c>
      <c r="D14" s="36">
        <f>IF(C14&gt;=$G$13,15%,IF(C14&gt;=$G$14,10%,IF(C14&gt;=$G$15,5%,0%)))</f>
        <v>0.05</v>
      </c>
      <c r="E14" s="34">
        <f>C14*D14</f>
        <v>2500</v>
      </c>
      <c r="G14" s="39">
        <v>70000</v>
      </c>
      <c r="H14" s="40">
        <v>10</v>
      </c>
    </row>
    <row r="15" spans="2:8" x14ac:dyDescent="0.3">
      <c r="B15" s="33" t="s">
        <v>602</v>
      </c>
      <c r="C15" s="34">
        <v>45000</v>
      </c>
      <c r="D15" s="36">
        <f>IF(C15&gt;=$G$13,15%,IF(C15&gt;=$G$14,10%,IF(C15&gt;=$G$15,5%,0%)))</f>
        <v>0</v>
      </c>
      <c r="E15" s="34">
        <f>C15*D15</f>
        <v>0</v>
      </c>
      <c r="G15" s="39">
        <v>50000</v>
      </c>
      <c r="H15" s="40">
        <v>5</v>
      </c>
    </row>
    <row r="16" spans="2:8" x14ac:dyDescent="0.3">
      <c r="B16" s="35" t="s">
        <v>546</v>
      </c>
      <c r="C16" s="34">
        <v>75000</v>
      </c>
      <c r="D16" s="36">
        <f>IF(C16&gt;=$G$13,15%,IF(C16&gt;=$G$14,10%,IF(C16&gt;=$G$15,5%,0%)))</f>
        <v>0.15</v>
      </c>
      <c r="E16" s="34">
        <f>C16*D16</f>
        <v>11250</v>
      </c>
      <c r="G16" s="41" t="s">
        <v>622</v>
      </c>
      <c r="H16" s="42" t="s">
        <v>623</v>
      </c>
    </row>
    <row r="17" spans="2:5" x14ac:dyDescent="0.3">
      <c r="B17" s="35" t="s">
        <v>620</v>
      </c>
      <c r="C17" s="34">
        <v>55000</v>
      </c>
      <c r="D17" s="36">
        <f>IF(C17&gt;=$G$13,15%,IF(C17&gt;=$G$14,10%,IF(C17&gt;=$G$15,5%,0%)))</f>
        <v>0.05</v>
      </c>
      <c r="E17" s="34">
        <f>C17*D17</f>
        <v>2750</v>
      </c>
    </row>
    <row r="19" spans="2:5" x14ac:dyDescent="0.3">
      <c r="D19" s="27" t="s">
        <v>633</v>
      </c>
      <c r="E19">
        <f>SUMIF(C13:C17,"&gt;50000",C13:C17)</f>
        <v>200000</v>
      </c>
    </row>
    <row r="34" spans="4:6" x14ac:dyDescent="0.3">
      <c r="D34" s="31" t="s">
        <v>626</v>
      </c>
      <c r="E34" s="31" t="s">
        <v>627</v>
      </c>
      <c r="F34" s="31" t="s">
        <v>628</v>
      </c>
    </row>
    <row r="35" spans="4:6" x14ac:dyDescent="0.3">
      <c r="D35">
        <v>27</v>
      </c>
      <c r="E35">
        <v>7</v>
      </c>
      <c r="F35">
        <f>IFERROR(D35/E35,"Division By Zero")</f>
        <v>3.8571428571428572</v>
      </c>
    </row>
    <row r="36" spans="4:6" x14ac:dyDescent="0.3">
      <c r="D36">
        <v>65</v>
      </c>
      <c r="E36">
        <v>4</v>
      </c>
      <c r="F36">
        <f t="shared" ref="F36:F37" si="1">IFERROR(D36/E36,"Division By Zero")</f>
        <v>16.25</v>
      </c>
    </row>
    <row r="37" spans="4:6" x14ac:dyDescent="0.3">
      <c r="D37">
        <v>56</v>
      </c>
      <c r="E37">
        <v>8</v>
      </c>
      <c r="F37">
        <f t="shared" si="1"/>
        <v>7</v>
      </c>
    </row>
    <row r="38" spans="4:6" x14ac:dyDescent="0.3">
      <c r="D38">
        <v>43</v>
      </c>
      <c r="E38">
        <v>0</v>
      </c>
      <c r="F38" t="str">
        <f>IFERROR(D38/E38,"Can not Division By 0")</f>
        <v>Can not Division By 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FE236-3953-4E80-94B6-5B72F4EC6BD0}">
  <dimension ref="A1:A12"/>
  <sheetViews>
    <sheetView workbookViewId="0">
      <selection activeCell="D14" sqref="D14"/>
    </sheetView>
  </sheetViews>
  <sheetFormatPr defaultRowHeight="14.4" x14ac:dyDescent="0.3"/>
  <sheetData>
    <row r="1" spans="1:1" x14ac:dyDescent="0.3">
      <c r="A1" s="26" t="s">
        <v>588</v>
      </c>
    </row>
    <row r="2" spans="1:1" x14ac:dyDescent="0.3">
      <c r="A2" s="26" t="s">
        <v>587</v>
      </c>
    </row>
    <row r="3" spans="1:1" x14ac:dyDescent="0.3">
      <c r="A3" s="26" t="s">
        <v>583</v>
      </c>
    </row>
    <row r="4" spans="1:1" x14ac:dyDescent="0.3">
      <c r="A4" s="26" t="s">
        <v>584</v>
      </c>
    </row>
    <row r="5" spans="1:1" x14ac:dyDescent="0.3">
      <c r="A5" s="26" t="s">
        <v>585</v>
      </c>
    </row>
    <row r="6" spans="1:1" x14ac:dyDescent="0.3">
      <c r="A6" s="26" t="s">
        <v>586</v>
      </c>
    </row>
    <row r="7" spans="1:1" x14ac:dyDescent="0.3">
      <c r="A7" s="26" t="s">
        <v>590</v>
      </c>
    </row>
    <row r="8" spans="1:1" x14ac:dyDescent="0.3">
      <c r="A8" s="26" t="s">
        <v>591</v>
      </c>
    </row>
    <row r="9" spans="1:1" x14ac:dyDescent="0.3">
      <c r="A9" s="26" t="s">
        <v>589</v>
      </c>
    </row>
    <row r="10" spans="1:1" x14ac:dyDescent="0.3">
      <c r="A10" s="26" t="s">
        <v>592</v>
      </c>
    </row>
    <row r="11" spans="1:1" x14ac:dyDescent="0.3">
      <c r="A11" s="26" t="s">
        <v>593</v>
      </c>
    </row>
    <row r="12" spans="1:1" x14ac:dyDescent="0.3">
      <c r="A12" s="26" t="s">
        <v>594</v>
      </c>
    </row>
  </sheetData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087B3-0129-4C63-A08A-77F360FD7DD5}">
  <dimension ref="A1"/>
  <sheetViews>
    <sheetView topLeftCell="A3"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DMartDataset</vt:lpstr>
      <vt:lpstr>Sheet5</vt:lpstr>
      <vt:lpstr>Sheet3</vt:lpstr>
      <vt:lpstr>if_formula</vt:lpstr>
      <vt:lpstr>custome_list</vt:lpstr>
      <vt:lpstr>Sheet1</vt:lpstr>
      <vt:lpstr>Sheet2</vt:lpstr>
      <vt:lpstr>Sheet4</vt:lpstr>
      <vt:lpstr>Category</vt:lpstr>
      <vt:lpstr>customer_type</vt:lpstr>
      <vt:lpstr>Discount</vt:lpstr>
      <vt:lpstr>Oders</vt:lpstr>
      <vt:lpstr>payment_mode</vt:lpstr>
      <vt:lpstr>Region</vt:lpstr>
      <vt:lpstr>Regions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Ritesh Ramteke</cp:lastModifiedBy>
  <dcterms:created xsi:type="dcterms:W3CDTF">2026-04-17T06:18:56Z</dcterms:created>
  <dcterms:modified xsi:type="dcterms:W3CDTF">2026-07-08T03:51:14Z</dcterms:modified>
</cp:coreProperties>
</file>