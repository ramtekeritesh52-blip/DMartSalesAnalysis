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9A62F25B-4651-425C-8403-E5C48B6B02FB}" xr6:coauthVersionLast="47" xr6:coauthVersionMax="47" xr10:uidLastSave="{00000000-0000-0000-0000-000000000000}"/>
  <bookViews>
    <workbookView xWindow="-108" yWindow="-108" windowWidth="23256" windowHeight="12456" tabRatio="659" xr2:uid="{00000000-000D-0000-FFFF-FFFF00000000}"/>
  </bookViews>
  <sheets>
    <sheet name="DMartDataset" sheetId="1" r:id="rId1"/>
    <sheet name="SUMIF" sheetId="9" r:id="rId2"/>
    <sheet name="TEXT TO COLUMN" sheetId="3" r:id="rId3"/>
    <sheet name="if_formula" sheetId="5" r:id="rId4"/>
    <sheet name="custome_list" sheetId="4" r:id="rId5"/>
    <sheet name="nested if" sheetId="6" r:id="rId6"/>
    <sheet name="subtotal" sheetId="8" r:id="rId7"/>
    <sheet name="vlookup" sheetId="7" r:id="rId8"/>
    <sheet name="hlookup" sheetId="10" r:id="rId9"/>
    <sheet name="Hlookup1" sheetId="11" r:id="rId10"/>
    <sheet name="INDIRECT" sheetId="12" r:id="rId11"/>
    <sheet name="Data Validation" sheetId="13" r:id="rId12"/>
  </sheets>
  <definedNames>
    <definedName name="_xlnm._FilterDatabase" localSheetId="6" hidden="1">subtotal!$B$2:$B$9</definedName>
    <definedName name="Apples">INDIRECT!$B$2:$B$6</definedName>
    <definedName name="Bananas">INDIRECT!$C$2:$C$6</definedName>
    <definedName name="Category">DMart_Sales_data[Category]</definedName>
    <definedName name="customer_type">DMart_Sales_data[customer_type]</definedName>
    <definedName name="Discount">DMart_Sales_data[discount]</definedName>
    <definedName name="Lemons">INDIRECT!$D$2:$D$6</definedName>
    <definedName name="oder_date">DMart_Sales_data[order_date]</definedName>
    <definedName name="Oders">DMart_Sales_data[Oder_ID]</definedName>
    <definedName name="payment_mode">DMart_Sales_data[payment_mode]</definedName>
    <definedName name="Region">DMart_Sales_data[Updated_Result]</definedName>
    <definedName name="Regions">DMart_Sales_data[Region]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gT5L9Uh5Mkce+NjaHPxVAbIJlDW9RbqkjfO6mNdsl18="/>
    </ext>
  </extLst>
</workbook>
</file>

<file path=xl/calcChain.xml><?xml version="1.0" encoding="utf-8"?>
<calcChain xmlns="http://schemas.openxmlformats.org/spreadsheetml/2006/main">
  <c r="S50" i="1" l="1"/>
  <c r="G11" i="12" a="1"/>
  <c r="D9" i="12" a="1"/>
  <c r="H2" i="12" a="1"/>
  <c r="R7" i="12"/>
  <c r="T2" i="12" a="1"/>
  <c r="G14" i="11"/>
  <c r="G13" i="11"/>
  <c r="C14" i="11"/>
  <c r="C12" i="11"/>
  <c r="C13" i="11"/>
  <c r="H3" i="9"/>
  <c r="D11" i="10"/>
  <c r="C11" i="10"/>
  <c r="G6" i="10"/>
  <c r="G7" i="10" s="1"/>
  <c r="F6" i="10"/>
  <c r="F7" i="10" s="1"/>
  <c r="E6" i="10"/>
  <c r="E7" i="10" s="1"/>
  <c r="D6" i="10"/>
  <c r="D7" i="10" s="1"/>
  <c r="C6" i="10"/>
  <c r="C7" i="10" s="1"/>
  <c r="C15" i="7"/>
  <c r="G11" i="7"/>
  <c r="C11" i="7"/>
  <c r="D7" i="7"/>
  <c r="E7" i="7" s="1"/>
  <c r="D15" i="7" s="1"/>
  <c r="D6" i="7"/>
  <c r="E6" i="7" s="1"/>
  <c r="D5" i="7"/>
  <c r="E5" i="7" s="1"/>
  <c r="D11" i="7" s="1"/>
  <c r="D4" i="7"/>
  <c r="E4" i="7" s="1"/>
  <c r="D3" i="7"/>
  <c r="E3" i="7" s="1"/>
  <c r="C504" i="1" a="1"/>
  <c r="C503" i="1"/>
  <c r="J5" i="8"/>
  <c r="E5" i="8"/>
  <c r="I7" i="4"/>
  <c r="I6" i="4"/>
  <c r="S44" i="1" a="1"/>
  <c r="U44" i="1"/>
  <c r="S43" i="1" a="1"/>
  <c r="S40" i="1"/>
  <c r="S39" i="1"/>
  <c r="S38" i="1"/>
  <c r="S37" i="1"/>
  <c r="S33" i="1" a="1"/>
  <c r="S32" i="1" a="1"/>
  <c r="S31" i="1" a="1"/>
  <c r="S30" i="1" a="1"/>
  <c r="S28" i="1" a="1"/>
  <c r="S26" i="1" a="1"/>
  <c r="S25" i="1" a="1"/>
  <c r="S24" i="1" a="1"/>
  <c r="S23" i="1" a="1"/>
  <c r="S22" i="1" a="1"/>
  <c r="S19" i="1"/>
  <c r="S18" i="1"/>
  <c r="S17" i="1"/>
  <c r="S16" i="1"/>
  <c r="S12" i="1"/>
  <c r="S10" i="1"/>
  <c r="H5" i="9"/>
  <c r="H4" i="9"/>
  <c r="S8" i="1"/>
  <c r="S7" i="1"/>
  <c r="S6" i="1"/>
  <c r="E19" i="6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D4" i="6"/>
  <c r="F38" i="6"/>
  <c r="F36" i="6"/>
  <c r="F37" i="6"/>
  <c r="F35" i="6"/>
  <c r="D14" i="6"/>
  <c r="E14" i="6" s="1"/>
  <c r="D15" i="6"/>
  <c r="E15" i="6" s="1"/>
  <c r="D16" i="6"/>
  <c r="E16" i="6" s="1"/>
  <c r="D17" i="6"/>
  <c r="E17" i="6" s="1"/>
  <c r="D13" i="6"/>
  <c r="E13" i="6" s="1"/>
  <c r="D5" i="6"/>
  <c r="D6" i="6"/>
  <c r="D7" i="6"/>
  <c r="D8" i="6"/>
  <c r="J12" i="5"/>
  <c r="J13" i="5"/>
  <c r="K3" i="5"/>
  <c r="K4" i="5"/>
  <c r="K2" i="5"/>
  <c r="E2" i="5" a="1"/>
  <c r="F9" i="12" l="1" a="1"/>
  <c r="H9" i="1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<sst xmlns="http://schemas.openxmlformats.org/spreadsheetml/2006/main" count="4279" uniqueCount="727">
  <si>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</si>
  <si>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</si>
  <si>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</si>
  <si>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</si>
  <si>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</si>
  <si>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</si>
  <si>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</si>
  <si>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</si>
  <si>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</si>
  <si>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</si>
  <si>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</si>
  <si>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</si>
  <si>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</si>
  <si>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</si>
  <si>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</si>
  <si>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</si>
  <si>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</si>
  <si>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</si>
  <si>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</si>
  <si>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</si>
  <si>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</si>
  <si>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</si>
  <si>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</si>
  <si>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</si>
  <si>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</si>
  <si>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</si>
  <si>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</si>
  <si>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</si>
  <si>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</si>
  <si>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</si>
  <si>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</si>
  <si>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</si>
  <si>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</si>
  <si>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</si>
  <si>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</si>
  <si>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</si>
  <si>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</si>
  <si>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</si>
  <si>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</si>
  <si>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</si>
  <si>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</si>
  <si>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</si>
  <si>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</si>
  <si>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</si>
  <si>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</si>
  <si>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</si>
  <si>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</si>
  <si>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</si>
  <si>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</si>
  <si>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</si>
  <si>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</si>
  <si>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</si>
  <si>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</si>
  <si>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</si>
  <si>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</si>
  <si>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</si>
  <si>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</si>
  <si>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</si>
  <si>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</si>
  <si>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</si>
  <si>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</si>
  <si>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</si>
  <si>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</si>
  <si>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</si>
  <si>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</si>
  <si>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</si>
  <si>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</si>
  <si>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</si>
  <si>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</si>
  <si>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</si>
  <si>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</si>
  <si>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</si>
  <si>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</si>
  <si>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</si>
  <si>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</si>
  <si>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</si>
  <si>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</si>
  <si>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</si>
  <si>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</si>
  <si>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</si>
  <si>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</si>
  <si>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</si>
  <si>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</si>
  <si>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</si>
  <si>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</si>
  <si>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</si>
  <si>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</si>
  <si>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</si>
  <si>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</si>
  <si>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</si>
  <si>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</si>
  <si>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</si>
  <si>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</si>
  <si>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</si>
  <si>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</si>
  <si>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</si>
  <si>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</si>
  <si>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</si>
  <si>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</si>
  <si>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</si>
  <si>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</si>
  <si>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</si>
  <si>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</si>
  <si>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</si>
  <si>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</si>
  <si>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</si>
  <si>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</si>
  <si>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</si>
  <si>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</si>
  <si>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</si>
  <si>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</si>
  <si>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</si>
  <si>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</si>
  <si>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</si>
  <si>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</si>
  <si>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</si>
  <si>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</si>
  <si>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</si>
  <si>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</si>
  <si>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</si>
  <si>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</si>
  <si>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</si>
  <si>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</si>
  <si>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</si>
  <si>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</si>
  <si>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</si>
  <si>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</si>
  <si>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</si>
  <si>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</si>
  <si>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</si>
  <si>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</si>
  <si>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</si>
  <si>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</si>
  <si>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</si>
  <si>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</si>
  <si>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</si>
  <si>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</si>
  <si>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</si>
  <si>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</si>
  <si>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</si>
  <si>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</si>
  <si>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</si>
  <si>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</si>
  <si>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</si>
  <si>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</si>
  <si>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</si>
  <si>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</si>
  <si>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</si>
  <si>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</si>
  <si>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</si>
  <si>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</si>
  <si>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</si>
  <si>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</si>
  <si>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</si>
  <si>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</si>
  <si>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</si>
  <si>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</si>
  <si>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</si>
  <si>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</si>
  <si>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</si>
  <si>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</si>
  <si>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</si>
  <si>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</si>
  <si>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</si>
  <si>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</si>
  <si>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</si>
  <si>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</si>
  <si>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</si>
  <si>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</si>
  <si>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</si>
  <si>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</si>
  <si>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</si>
  <si>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</si>
  <si>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</si>
  <si>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</si>
  <si>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</si>
  <si>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</si>
  <si>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</si>
  <si>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</si>
  <si>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</si>
  <si>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</si>
  <si>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</si>
  <si>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</si>
  <si>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</si>
  <si>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</si>
  <si>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</si>
  <si>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</si>
  <si>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</si>
  <si>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</si>
  <si>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</si>
  <si>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</si>
  <si>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</si>
  <si>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</si>
  <si>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</si>
  <si>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</si>
  <si>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</si>
  <si>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</si>
  <si>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</si>
  <si>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</si>
  <si>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</si>
  <si>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</si>
  <si>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</si>
  <si>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</si>
  <si>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</si>
  <si>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</si>
  <si>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</si>
  <si>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</si>
  <si>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</si>
  <si>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</si>
  <si>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</si>
  <si>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</si>
  <si>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</si>
  <si>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</si>
  <si>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</si>
  <si>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</si>
  <si>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</si>
  <si>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</si>
  <si>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</si>
  <si>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</si>
  <si>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</si>
  <si>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</si>
  <si>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</si>
  <si>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</si>
  <si>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</si>
  <si>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</si>
  <si>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</si>
  <si>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</si>
  <si>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</si>
  <si>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</si>
  <si>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</si>
  <si>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</si>
  <si>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</si>
  <si>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</si>
  <si>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</si>
  <si>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</si>
  <si>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</si>
  <si>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</si>
  <si>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</si>
  <si>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</si>
  <si>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</si>
  <si>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</si>
  <si>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</si>
  <si>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</si>
  <si>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</si>
  <si>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</si>
  <si>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</si>
  <si>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</si>
  <si>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</si>
  <si>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</si>
  <si>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</si>
  <si>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</si>
  <si>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</si>
  <si>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</si>
  <si>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</si>
  <si>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</si>
  <si>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</si>
  <si>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</si>
  <si>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</si>
  <si>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</si>
  <si>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</si>
  <si>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</si>
  <si>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</si>
  <si>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</si>
  <si>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</si>
  <si>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</si>
  <si>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</si>
  <si>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</si>
  <si>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</si>
  <si>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</si>
  <si>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</si>
  <si>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</si>
  <si>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</si>
  <si>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</si>
  <si>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</si>
  <si>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</si>
  <si>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</si>
  <si>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</si>
  <si>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</si>
  <si>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</si>
  <si>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</si>
  <si>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</si>
  <si>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</si>
  <si>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</si>
  <si>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</si>
  <si>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</si>
  <si>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</si>
  <si>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</si>
  <si>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</si>
  <si>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</si>
  <si>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</si>
  <si>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</si>
  <si>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</si>
  <si>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</si>
  <si>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</si>
  <si>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</si>
  <si>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</si>
  <si>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</si>
  <si>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</si>
  <si>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</si>
  <si>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</si>
  <si>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</si>
  <si>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</si>
  <si>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</si>
  <si>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</si>
  <si>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</si>
  <si>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</si>
  <si>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</si>
  <si>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</si>
  <si>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</si>
  <si>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</si>
  <si>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</si>
  <si>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</si>
  <si>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</si>
  <si>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</si>
  <si>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</si>
  <si>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</si>
  <si>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</si>
  <si>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</si>
  <si>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</si>
  <si>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</si>
  <si>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</si>
  <si>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</si>
  <si>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</si>
  <si>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</si>
  <si>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</si>
  <si>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</si>
  <si>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</si>
  <si>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</si>
  <si>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</si>
  <si>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</si>
  <si>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</si>
  <si>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</si>
  <si>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</si>
  <si>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</si>
  <si>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</si>
  <si>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</si>
  <si>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</si>
  <si>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</si>
  <si>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</si>
  <si>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</si>
  <si>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</si>
  <si>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</si>
  <si>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</si>
  <si>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</si>
  <si>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</si>
  <si>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</si>
  <si>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</si>
  <si>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</si>
  <si>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</si>
  <si>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</si>
  <si>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</si>
  <si>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</si>
  <si>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</si>
  <si>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</si>
  <si>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</si>
  <si>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</si>
  <si>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</si>
  <si>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</si>
  <si>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</si>
  <si>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</si>
  <si>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</si>
  <si>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</si>
  <si>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</si>
  <si>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</si>
  <si>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</si>
  <si>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</si>
  <si>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</si>
  <si>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</si>
  <si>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</si>
  <si>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</si>
  <si>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</si>
  <si>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</si>
  <si>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</si>
  <si>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</si>
  <si>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</si>
  <si>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</si>
  <si>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</si>
  <si>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</si>
  <si>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</si>
  <si>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</si>
  <si>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</si>
  <si>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</si>
  <si>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</si>
  <si>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</si>
  <si>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</si>
  <si>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</si>
  <si>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</si>
  <si>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</si>
  <si>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</si>
  <si>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</si>
  <si>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</si>
  <si>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</si>
  <si>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</si>
  <si>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</si>
  <si>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</si>
  <si>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</si>
  <si>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</si>
  <si>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</si>
  <si>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</si>
  <si>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</si>
  <si>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</si>
  <si>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</si>
  <si>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</si>
  <si>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</si>
  <si>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</si>
  <si>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</si>
  <si>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</si>
  <si>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</si>
  <si>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</si>
  <si>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</si>
  <si>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</si>
  <si>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</si>
  <si>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</si>
  <si>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</si>
  <si>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</si>
  <si>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</si>
  <si>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</si>
  <si>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</si>
  <si>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</si>
  <si>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</si>
  <si>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</si>
  <si>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</si>
  <si>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</si>
  <si>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</si>
  <si>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</si>
  <si>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</si>
  <si>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</si>
  <si>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</si>
  <si>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</si>
  <si>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</si>
  <si>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</si>
  <si>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</si>
  <si>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</si>
  <si>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</si>
  <si>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</si>
  <si>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</si>
  <si>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</si>
  <si>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</si>
  <si>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</si>
  <si>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</si>
  <si>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</si>
  <si>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</si>
  <si>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</si>
  <si>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</si>
  <si>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</si>
  <si>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</si>
  <si>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</si>
  <si>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</si>
  <si>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</si>
  <si>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</si>
  <si>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</si>
  <si>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</si>
  <si>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</si>
  <si>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</si>
  <si>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</si>
  <si>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</si>
  <si>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</si>
  <si>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</si>
  <si>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</si>
  <si>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</si>
  <si>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</si>
  <si>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</si>
  <si>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</si>
  <si>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</si>
  <si>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</si>
  <si>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</si>
  <si>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</si>
  <si>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</si>
  <si>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</si>
  <si>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</si>
  <si>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</si>
  <si>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</si>
  <si>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</si>
  <si>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</si>
  <si>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</si>
  <si>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</si>
  <si>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</si>
  <si>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</si>
  <si>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</si>
  <si>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</si>
  <si>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</si>
  <si>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</si>
  <si>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</si>
  <si>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</si>
  <si>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</si>
  <si>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</si>
  <si>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</si>
  <si>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</si>
  <si>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</si>
  <si>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</si>
  <si>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</si>
  <si>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</si>
  <si>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</si>
  <si>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</si>
  <si>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</si>
  <si>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</si>
  <si>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</si>
  <si>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</si>
  <si>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</si>
  <si>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</si>
  <si>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</si>
  <si>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</si>
  <si>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</si>
  <si>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</si>
  <si>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</si>
  <si>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</si>
  <si>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</si>
  <si>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</si>
  <si>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</si>
  <si>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</si>
  <si>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</si>
  <si>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</si>
  <si>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</si>
  <si>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</si>
  <si>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</si>
  <si>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</si>
  <si>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</si>
  <si>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</si>
  <si>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</si>
  <si>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</si>
  <si>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</si>
  <si>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</si>
  <si>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</si>
  <si>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</si>
  <si>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</si>
  <si>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</si>
  <si>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</si>
  <si>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</si>
  <si>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</si>
  <si>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</si>
  <si>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</si>
  <si>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</si>
  <si>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</si>
  <si>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</si>
  <si>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</si>
  <si>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</si>
  <si>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</si>
  <si>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</si>
  <si>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</si>
  <si>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</si>
  <si>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</si>
  <si>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</t>
  </si>
  <si>
    <t>Updated_City</t>
  </si>
  <si>
    <t>First Name</t>
  </si>
  <si>
    <t>Last_Name</t>
  </si>
  <si>
    <t>Full Name</t>
  </si>
  <si>
    <t>Ritesh</t>
  </si>
  <si>
    <t>Ramteke</t>
  </si>
  <si>
    <t>Suhas</t>
  </si>
  <si>
    <t>Borkar</t>
  </si>
  <si>
    <t xml:space="preserve">Abhi </t>
  </si>
  <si>
    <t>Disuja</t>
  </si>
  <si>
    <t>Sachin</t>
  </si>
  <si>
    <t>Bhat</t>
  </si>
  <si>
    <t>Ritesh Ramteke</t>
  </si>
  <si>
    <t>Suhas Borkar</t>
  </si>
  <si>
    <t>Abhi Disuja</t>
  </si>
  <si>
    <t>Sachin Bhat</t>
  </si>
  <si>
    <t>email</t>
  </si>
  <si>
    <t>suhas@gmail.com</t>
  </si>
  <si>
    <t>abhi@gmail.com</t>
  </si>
  <si>
    <t>sachin@gmail.com</t>
  </si>
  <si>
    <t>username</t>
  </si>
  <si>
    <t>abhi</t>
  </si>
  <si>
    <t>riteshramteke03@gmail.com</t>
  </si>
  <si>
    <t>ritesh</t>
  </si>
  <si>
    <t>suhas</t>
  </si>
  <si>
    <t>sachin</t>
  </si>
  <si>
    <t>Contact-No</t>
  </si>
  <si>
    <t>10 digt</t>
  </si>
  <si>
    <t>Updated_Result</t>
  </si>
  <si>
    <t>West</t>
  </si>
  <si>
    <t>Sales</t>
  </si>
  <si>
    <t>Names</t>
  </si>
  <si>
    <t>Niket</t>
  </si>
  <si>
    <t>Rahul</t>
  </si>
  <si>
    <t>Sanny</t>
  </si>
  <si>
    <t>Employee Name</t>
  </si>
  <si>
    <t>Months</t>
  </si>
  <si>
    <t>March</t>
  </si>
  <si>
    <t>April</t>
  </si>
  <si>
    <t>May</t>
  </si>
  <si>
    <t>June</t>
  </si>
  <si>
    <t>February</t>
  </si>
  <si>
    <t>January</t>
  </si>
  <si>
    <t>September</t>
  </si>
  <si>
    <t>July</t>
  </si>
  <si>
    <t>August</t>
  </si>
  <si>
    <t>October</t>
  </si>
  <si>
    <t>November</t>
  </si>
  <si>
    <t>December</t>
  </si>
  <si>
    <t>Target Achieved</t>
  </si>
  <si>
    <t xml:space="preserve">Target </t>
  </si>
  <si>
    <t>Name</t>
  </si>
  <si>
    <t>English</t>
  </si>
  <si>
    <t>Maths</t>
  </si>
  <si>
    <t>Science</t>
  </si>
  <si>
    <t>Grade</t>
  </si>
  <si>
    <t>Aniket</t>
  </si>
  <si>
    <t>A+</t>
  </si>
  <si>
    <t>75+</t>
  </si>
  <si>
    <t>B</t>
  </si>
  <si>
    <t>eng/math</t>
  </si>
  <si>
    <t>City</t>
  </si>
  <si>
    <t>Marks</t>
  </si>
  <si>
    <t>Nagpur</t>
  </si>
  <si>
    <t>Wardha</t>
  </si>
  <si>
    <t>Status</t>
  </si>
  <si>
    <t>&gt;90</t>
  </si>
  <si>
    <t>&gt;75</t>
  </si>
  <si>
    <t>&gt;60</t>
  </si>
  <si>
    <t>A++</t>
  </si>
  <si>
    <t>A</t>
  </si>
  <si>
    <t>&gt;40</t>
  </si>
  <si>
    <t xml:space="preserve">Else </t>
  </si>
  <si>
    <t>fail</t>
  </si>
  <si>
    <t>aarav</t>
  </si>
  <si>
    <t>Bonus</t>
  </si>
  <si>
    <t>&lt;50000</t>
  </si>
  <si>
    <t>No Bonus</t>
  </si>
  <si>
    <t>Bonus Amount</t>
  </si>
  <si>
    <t>Sales Range</t>
  </si>
  <si>
    <t>Number-1</t>
  </si>
  <si>
    <t>Number-2</t>
  </si>
  <si>
    <t>Division</t>
  </si>
  <si>
    <t>sales_Range</t>
  </si>
  <si>
    <t>upi or card</t>
  </si>
  <si>
    <t>member</t>
  </si>
  <si>
    <t>Discount2</t>
  </si>
  <si>
    <t>Total Sales above 50000</t>
  </si>
  <si>
    <t>Total Sales  by UPI mode of payment</t>
  </si>
  <si>
    <t>Total Sales by Card</t>
  </si>
  <si>
    <t>Total Sales BY  Cash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</si>
  <si>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</si>
  <si>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</si>
  <si>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</si>
  <si>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</si>
  <si>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</si>
  <si>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</si>
  <si>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</si>
  <si>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</si>
  <si>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</si>
  <si>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for fruit</t>
  </si>
  <si>
    <t>Total sales for Vegetables</t>
  </si>
  <si>
    <t>NO Categeory sales</t>
  </si>
  <si>
    <t>bread</t>
  </si>
  <si>
    <t>Banana</t>
  </si>
  <si>
    <t>Total Sales for categeory Clothing in East Region</t>
  </si>
  <si>
    <t>Total Sales region north , category electronic , discount &gt;40%</t>
  </si>
  <si>
    <t>Total Oders</t>
  </si>
  <si>
    <t>Oder_ID</t>
  </si>
  <si>
    <t>Count</t>
  </si>
  <si>
    <t>Count transaction made by UPI</t>
  </si>
  <si>
    <t>Count transaction made by CARD</t>
  </si>
  <si>
    <t>Count transaction made by CASH</t>
  </si>
  <si>
    <t>Find the number of transaction having sales value more than 4000</t>
  </si>
  <si>
    <t>Count sales value greater than 4000 , and region East</t>
  </si>
  <si>
    <t>Count sales value greater than 4000 , and region West</t>
  </si>
  <si>
    <t>Count sales value greater than 4000 , and region North</t>
  </si>
  <si>
    <t>Count sales value greater than 4000 , and region South</t>
  </si>
  <si>
    <t>count of sales for customer type MEMBER and payment mode is upi or card</t>
  </si>
  <si>
    <t>Total Sales for North Region</t>
  </si>
  <si>
    <t>Total Sales for South Region</t>
  </si>
  <si>
    <t>Total Sales for East Region</t>
  </si>
  <si>
    <t>Total Sales for West Region</t>
  </si>
  <si>
    <t>Number of oders for Each region</t>
  </si>
  <si>
    <t>Number of oders for East</t>
  </si>
  <si>
    <t>Number of oders for west</t>
  </si>
  <si>
    <t>Number of oders for north</t>
  </si>
  <si>
    <t>Number of oders for south</t>
  </si>
  <si>
    <t>Total Sales for 2023</t>
  </si>
  <si>
    <t>last 6 month sales</t>
  </si>
  <si>
    <t>Count duplicate region</t>
  </si>
  <si>
    <t>Department</t>
  </si>
  <si>
    <t>HR</t>
  </si>
  <si>
    <t>Finance</t>
  </si>
  <si>
    <t>IT</t>
  </si>
  <si>
    <t>Employee ID</t>
  </si>
  <si>
    <t>Find Duplicates in Employee ID</t>
  </si>
  <si>
    <t>Data</t>
  </si>
  <si>
    <t>sum</t>
  </si>
  <si>
    <t>include hidden rows (1)</t>
  </si>
  <si>
    <t>sum 101</t>
  </si>
  <si>
    <t>Exclude  hidden row  109</t>
  </si>
  <si>
    <t>Total Sales</t>
  </si>
  <si>
    <t>Total Sales (using subtotal)</t>
  </si>
  <si>
    <t>Emp_ID</t>
  </si>
  <si>
    <t>EmployeeID</t>
  </si>
  <si>
    <t xml:space="preserve">MATCH </t>
  </si>
  <si>
    <t>POSITION</t>
  </si>
  <si>
    <t>Using Vlookup</t>
  </si>
  <si>
    <t>Using INDEX MATCH</t>
  </si>
  <si>
    <t>Bonus amount</t>
  </si>
  <si>
    <t>Jan</t>
  </si>
  <si>
    <t>Feb</t>
  </si>
  <si>
    <t>Mar</t>
  </si>
  <si>
    <t>Apr</t>
  </si>
  <si>
    <t>Cost</t>
  </si>
  <si>
    <t>Travel</t>
  </si>
  <si>
    <t>Profit</t>
  </si>
  <si>
    <t>Month</t>
  </si>
  <si>
    <t xml:space="preserve">using VLOOKUP </t>
  </si>
  <si>
    <t xml:space="preserve"> </t>
  </si>
  <si>
    <t>B2</t>
  </si>
  <si>
    <t>R5C</t>
  </si>
  <si>
    <t>Bananas</t>
  </si>
  <si>
    <t>Lemons</t>
  </si>
  <si>
    <t>Amit</t>
  </si>
  <si>
    <t>Neha</t>
  </si>
  <si>
    <t>Ketan</t>
  </si>
  <si>
    <t>Sunil</t>
  </si>
  <si>
    <t>Pooja</t>
  </si>
  <si>
    <t>Fruit</t>
  </si>
  <si>
    <t>Total</t>
  </si>
  <si>
    <t>Averages</t>
  </si>
  <si>
    <t>Max</t>
  </si>
  <si>
    <t>Min</t>
  </si>
  <si>
    <t>Age</t>
  </si>
  <si>
    <t>Quantity</t>
  </si>
  <si>
    <t>MIN</t>
  </si>
  <si>
    <t>MAX</t>
  </si>
  <si>
    <t>Date</t>
  </si>
  <si>
    <t>greter than</t>
  </si>
  <si>
    <t>less than</t>
  </si>
  <si>
    <t>OTP</t>
  </si>
  <si>
    <t>KHIH</t>
  </si>
  <si>
    <t>OrderID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</si>
</sst>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yyyy\-mm\-dd"/>
    <numFmt numFmtId="165" formatCode="&quot;$&quot;#,##0.00"/>
    <numFmt numFmtId="167" formatCode="[$-14009]dd\-mm\-yyyy;@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b/>
      <sz val="11"/>
      <color rgb="FF333333"/>
      <name val="Segoe UI"/>
      <family val="2"/>
    </font>
    <font>
      <sz val="11"/>
      <color rgb="FF212529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7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2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164" fontId="8" fillId="3" borderId="1" xfId="0" applyNumberFormat="1" applyFont="1" applyFill="1" applyBorder="1"/>
    <xf numFmtId="0" fontId="7" fillId="3" borderId="3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0" borderId="6" xfId="0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7" fillId="3" borderId="6" xfId="0" applyFont="1" applyFill="1" applyBorder="1"/>
    <xf numFmtId="0" fontId="7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2" fillId="0" borderId="0" xfId="1"/>
    <xf numFmtId="0" fontId="14" fillId="0" borderId="0" xfId="0" applyFont="1"/>
    <xf numFmtId="0" fontId="6" fillId="0" borderId="0" xfId="0" applyFont="1"/>
    <xf numFmtId="0" fontId="13" fillId="0" borderId="0" xfId="0" applyFont="1"/>
    <xf numFmtId="0" fontId="13" fillId="4" borderId="0" xfId="0" applyFont="1" applyFill="1"/>
    <xf numFmtId="0" fontId="0" fillId="5" borderId="0" xfId="0" applyFill="1"/>
    <xf numFmtId="0" fontId="13" fillId="5" borderId="0" xfId="0" applyFont="1" applyFill="1"/>
    <xf numFmtId="0" fontId="5" fillId="0" borderId="0" xfId="0" applyFont="1"/>
    <xf numFmtId="0" fontId="13" fillId="4" borderId="9" xfId="0" applyFont="1" applyFill="1" applyBorder="1"/>
    <xf numFmtId="0" fontId="6" fillId="0" borderId="9" xfId="0" applyFont="1" applyBorder="1"/>
    <xf numFmtId="0" fontId="0" fillId="0" borderId="9" xfId="0" applyBorder="1"/>
    <xf numFmtId="0" fontId="5" fillId="0" borderId="9" xfId="0" applyFont="1" applyBorder="1"/>
    <xf numFmtId="2" fontId="13" fillId="0" borderId="9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1" fillId="2" borderId="0" xfId="0" applyFont="1" applyFill="1" applyAlignment="1">
      <alignment horizontal="center"/>
    </xf>
    <xf numFmtId="0" fontId="16" fillId="0" borderId="9" xfId="0" applyFont="1" applyBorder="1"/>
    <xf numFmtId="165" fontId="16" fillId="0" borderId="9" xfId="0" applyNumberFormat="1" applyFont="1" applyBorder="1"/>
    <xf numFmtId="0" fontId="17" fillId="6" borderId="16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vertical="top" wrapText="1" indent="1"/>
    </xf>
    <xf numFmtId="6" fontId="18" fillId="7" borderId="0" xfId="0" applyNumberFormat="1" applyFont="1" applyFill="1" applyAlignment="1">
      <alignment vertical="top" wrapText="1" indent="1"/>
    </xf>
    <xf numFmtId="0" fontId="4" fillId="0" borderId="0" xfId="0" applyFont="1"/>
    <xf numFmtId="0" fontId="16" fillId="0" borderId="0" xfId="0" applyFont="1"/>
    <xf numFmtId="0" fontId="14" fillId="0" borderId="9" xfId="0" applyFont="1" applyBorder="1"/>
    <xf numFmtId="0" fontId="0" fillId="0" borderId="9" xfId="0" applyBorder="1" applyAlignment="1">
      <alignment vertical="center" wrapText="1"/>
    </xf>
    <xf numFmtId="0" fontId="7" fillId="0" borderId="9" xfId="0" applyFont="1" applyBorder="1"/>
    <xf numFmtId="0" fontId="3" fillId="0" borderId="0" xfId="0" applyFont="1"/>
    <xf numFmtId="0" fontId="7" fillId="8" borderId="0" xfId="0" applyFont="1" applyFill="1"/>
    <xf numFmtId="0" fontId="7" fillId="8" borderId="9" xfId="0" applyFont="1" applyFill="1" applyBorder="1"/>
    <xf numFmtId="14" fontId="7" fillId="0" borderId="0" xfId="0" applyNumberFormat="1" applyFont="1"/>
    <xf numFmtId="0" fontId="2" fillId="0" borderId="17" xfId="0" applyFont="1" applyBorder="1"/>
    <xf numFmtId="0" fontId="2" fillId="0" borderId="9" xfId="0" applyFont="1" applyBorder="1"/>
    <xf numFmtId="0" fontId="2" fillId="0" borderId="0" xfId="0" applyFont="1"/>
    <xf numFmtId="0" fontId="0" fillId="9" borderId="0" xfId="0" applyFill="1"/>
    <xf numFmtId="0" fontId="19" fillId="6" borderId="16" xfId="0" applyFont="1" applyFill="1" applyBorder="1" applyAlignment="1">
      <alignment horizontal="left" vertical="center" wrapText="1"/>
    </xf>
    <xf numFmtId="0" fontId="20" fillId="7" borderId="0" xfId="0" applyFont="1" applyFill="1" applyAlignment="1">
      <alignment vertical="top" wrapText="1" indent="1"/>
    </xf>
    <xf numFmtId="0" fontId="2" fillId="9" borderId="0" xfId="0" applyFont="1" applyFill="1"/>
    <xf numFmtId="0" fontId="0" fillId="4" borderId="0" xfId="0" applyFill="1"/>
    <xf numFmtId="0" fontId="0" fillId="4" borderId="9" xfId="0" applyFill="1" applyBorder="1"/>
    <xf numFmtId="0" fontId="0" fillId="4" borderId="12" xfId="0" applyFill="1" applyBorder="1"/>
    <xf numFmtId="0" fontId="0" fillId="0" borderId="0" xfId="0" applyBorder="1"/>
    <xf numFmtId="0" fontId="0" fillId="0" borderId="9" xfId="0" applyFill="1" applyBorder="1"/>
    <xf numFmtId="167" fontId="0" fillId="0" borderId="9" xfId="0" applyNumberFormat="1" applyBorder="1"/>
    <xf numFmtId="167" fontId="0" fillId="0" borderId="0" xfId="0" applyNumberFormat="1"/>
    <xf numFmtId="0" fontId="1" fillId="0" borderId="0" xfId="0" applyFont="1"/>
    <xf numFmtId="0" fontId="0" fillId="4" borderId="17" xfId="0" applyFont="1" applyFill="1" applyBorder="1"/>
    <xf numFmtId="0" fontId="1" fillId="4" borderId="0" xfId="0" applyFont="1" applyFill="1" applyBorder="1"/>
    <xf numFmtId="0" fontId="1" fillId="4" borderId="9" xfId="0" applyFont="1" applyFill="1" applyBorder="1"/>
    <xf numFmtId="0" fontId="1" fillId="0" borderId="9" xfId="0" applyFont="1" applyBorder="1"/>
  </cellXfs>
  <cellStyles count="2">
    <cellStyle name="Hyperlink" xfId="1" builtinId="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D86DCD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5FFC85-EDDB-4E91-A487-D9C4CFFF1485}" name="DMart_Sales_data" displayName="DMart_Sales_data" ref="A1:P499" totalsRowShown="0" headerRowDxfId="24" dataDxfId="23" tableBorderDxfId="22">
  <autoFilter ref="A1:P499" xr:uid="{CB5FFC85-EDDB-4E91-A487-D9C4CFFF1485}"/>
  <sortState xmlns:xlrd2="http://schemas.microsoft.com/office/spreadsheetml/2017/richdata2" ref="A4:O496">
    <sortCondition sortBy="cellColor" ref="H1:H499" dxfId="21"/>
  </sortState>
  <tableColumns count="16">
    <tableColumn id="1" xr3:uid="{7EF49061-0805-4769-8271-BB98A806FB0D}" name="Oder_ID" dataDxfId="20"/>
    <tableColumn id="2" xr3:uid="{C0BAB4D1-3519-4345-9B38-0E6B77682382}" name="Region" dataDxfId="19"/>
    <tableColumn id="15" xr3:uid="{4BEFB056-7F5C-4EFF-A729-C88499B6EA0D}" name="Updated_Result" dataDxfId="18"/>
    <tableColumn id="3" xr3:uid="{B9A26BF6-A552-486C-8696-866C58A5EEDE}" name="Category" dataDxfId="17"/>
    <tableColumn id="4" xr3:uid="{0FB01DF2-7A02-4A3F-BE27-BFAC4E434C5E}" name="sales" dataDxfId="16"/>
    <tableColumn id="16" xr3:uid="{D0D9F295-77BE-4D1B-8996-2AC56A23213A}" name="sales_Range" dataDxfId="15">
      <calculatedColumnFormula>IF(DMart_Sales_data[[#This Row],[sales]]&gt;3000,"High Sales",IF(DMart_Sales_data[[#This Row],[sales]]&gt;1000,"Medium Sales","Low Sales"))</calculatedColumnFormula>
    </tableColumn>
    <tableColumn id="5" xr3:uid="{843A9854-F743-48F8-8E9F-14644F1A11B6}" name="discount" dataDxfId="14"/>
    <tableColumn id="6" xr3:uid="{D50ED9D4-276F-4D61-AFB1-E90B62C26258}" name="quantity" dataDxfId="13"/>
    <tableColumn id="7" xr3:uid="{61772744-09AC-4578-AA34-E7568565FBA6}" name="order_date" dataDxfId="12"/>
    <tableColumn id="8" xr3:uid="{9DB46DCB-43DF-4D26-860D-0BD0C4D6C001}" name="delivery_date" dataDxfId="11"/>
    <tableColumn id="9" xr3:uid="{5B877D5C-8DD9-47E5-9F79-CCC0DF124EBD}" name="customer_type" dataDxfId="10"/>
    <tableColumn id="11" xr3:uid="{1BAD506E-32EE-4674-856A-09B962847C14}" name="payment_mode" dataDxfId="9"/>
    <tableColumn id="12" xr3:uid="{908963C3-FCB9-4B4E-9F8F-9EFD51AB1090}" name="profit" dataDxfId="8"/>
    <tableColumn id="14" xr3:uid="{E115AD45-1FCA-4BB7-894D-A53DD040DB9F}" name="Updated_City" dataDxfId="7"/>
    <tableColumn id="13" xr3:uid="{D6A1E705-8348-43F4-B9B6-C9A1EFAA949B}" name="city" dataDxfId="6"/>
    <tableColumn id="17" xr3:uid="{5F03E30D-E2C6-4394-9F12-DF7070EE5D38}" name="Discount2" dataDxfId="5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bhi@gmail.com" TargetMode="External"/><Relationship Id="rId2" Type="http://schemas.openxmlformats.org/officeDocument/2006/relationships/hyperlink" Target="mailto:suhas@gmail.com" TargetMode="External"/><Relationship Id="rId1" Type="http://schemas.openxmlformats.org/officeDocument/2006/relationships/hyperlink" Target="mailto:riteshramteke03@gmail.com" TargetMode="External"/><Relationship Id="rId4" Type="http://schemas.openxmlformats.org/officeDocument/2006/relationships/hyperlink" Target="mailto:sach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K35" zoomScale="102" zoomScaleNormal="145" workbookViewId="0">
      <selection activeCell="R54" sqref="R54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77734375" bestFit="1" customWidth="1"/>
    <col min="4" max="4" width="10.21875" customWidth="1"/>
    <col min="5" max="5" width="9.6640625" customWidth="1"/>
    <col min="6" max="6" width="16.109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7.77734375" bestFit="1" customWidth="1"/>
    <col min="13" max="13" width="11.33203125" customWidth="1"/>
    <col min="14" max="14" width="16" bestFit="1" customWidth="1"/>
    <col min="15" max="15" width="15" customWidth="1"/>
    <col min="16" max="16" width="13.5546875" bestFit="1" customWidth="1"/>
    <col min="17" max="17" width="8.6640625" customWidth="1"/>
    <col min="18" max="18" width="61.5546875" bestFit="1" customWidth="1"/>
    <col min="19" max="19" width="13" customWidth="1"/>
    <col min="20" max="20" width="8.6640625" customWidth="1"/>
    <col min="21" max="21" width="11" bestFit="1" customWidth="1"/>
    <col min="22" max="25" width="8.6640625" customWidth="1"/>
  </cols>
  <sheetData>
    <row r="1" spans="1:27" ht="14.25" customHeight="1" x14ac:dyDescent="0.3">
      <c r="A1" s="20" t="s">
        <v>650</v>
      </c>
      <c r="B1" s="21" t="s">
        <v>0</v>
      </c>
      <c r="C1" s="21" t="s">
        <v>570</v>
      </c>
      <c r="D1" s="21" t="s">
        <v>1</v>
      </c>
      <c r="E1" s="21" t="s">
        <v>2</v>
      </c>
      <c r="F1" s="21" t="s">
        <v>625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542</v>
      </c>
      <c r="O1" s="23" t="s">
        <v>10</v>
      </c>
      <c r="P1" s="43" t="s">
        <v>628</v>
      </c>
      <c r="Q1" s="25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" t="str">
        <f>IF(AND(DMart_Sales_data[[#This Row],[customer_type]]="Member",OR(DMart_Sales_data[[#This Row],[payment_mode]]="UPI",DMart_Sales_data[[#This Row],[payment_mode]]="Card")),"Yes","No")</f>
        <v>Yes</v>
      </c>
      <c r="Q2" s="25"/>
      <c r="R2" s="1"/>
      <c r="S2" s="1" t="s">
        <v>627</v>
      </c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571</v>
      </c>
      <c r="C3" s="4" t="s">
        <v>571</v>
      </c>
      <c r="D3" s="10" t="s">
        <v>18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2" t="str">
        <f>IF(AND(DMart_Sales_data[[#This Row],[customer_type]]="Member",OR(DMart_Sales_data[[#This Row],[payment_mode]]="UPI",DMart_Sales_data[[#This Row],[payment_mode]]="Card")),"Yes","No")</f>
        <v>No</v>
      </c>
      <c r="Q3" s="25"/>
      <c r="R3" s="1"/>
      <c r="S3" s="1" t="s">
        <v>626</v>
      </c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2" t="str">
        <f>IF(AND(DMart_Sales_data[[#This Row],[customer_type]]="Member",OR(DMart_Sales_data[[#This Row],[payment_mode]]="UPI",DMart_Sales_data[[#This Row],[payment_mode]]="Card")),"Yes","No")</f>
        <v>No</v>
      </c>
      <c r="Q4" s="25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34</v>
      </c>
      <c r="O5" s="18" t="s">
        <v>29</v>
      </c>
      <c r="P5" s="2" t="str">
        <f>IF(AND(DMart_Sales_data[[#This Row],[customer_type]]="Member",OR(DMart_Sales_data[[#This Row],[payment_mode]]="UPI",DMart_Sales_data[[#This Row],[payment_mode]]="Card")),"Yes","No")</f>
        <v>Yes</v>
      </c>
      <c r="Q5" s="25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16</v>
      </c>
      <c r="O6" s="17" t="s">
        <v>16</v>
      </c>
      <c r="P6" s="2" t="str">
        <f>IF(AND(DMart_Sales_data[[#This Row],[customer_type]]="Member",OR(DMart_Sales_data[[#This Row],[payment_mode]]="UPI",DMart_Sales_data[[#This Row],[payment_mode]]="Card")),"Yes","No")</f>
        <v>No</v>
      </c>
      <c r="Q6" s="25"/>
      <c r="R6" s="44" t="s">
        <v>630</v>
      </c>
      <c r="S6" s="45">
        <f>SUMIF(DMart_Sales_data[payment_mode],"=UPI",DMart_Sales_data[sales])</f>
        <v>386412.25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32</v>
      </c>
      <c r="B7" s="9" t="s">
        <v>571</v>
      </c>
      <c r="C7" s="4" t="s">
        <v>571</v>
      </c>
      <c r="D7" s="10" t="s">
        <v>33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34</v>
      </c>
      <c r="O7" s="12" t="s">
        <v>34</v>
      </c>
      <c r="P7" s="2" t="str">
        <f>IF(AND(DMart_Sales_data[[#This Row],[customer_type]]="Member",OR(DMart_Sales_data[[#This Row],[payment_mode]]="UPI",DMart_Sales_data[[#This Row],[payment_mode]]="Card")),"Yes","No")</f>
        <v>Yes</v>
      </c>
      <c r="R7" s="44" t="s">
        <v>631</v>
      </c>
      <c r="S7" s="45">
        <f>SUMIF(DMart_Sales_data[payment_mode],"=Card",DMart_Sales_data[sales])</f>
        <v>413292.63999999996</v>
      </c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16</v>
      </c>
      <c r="O8" s="17" t="s">
        <v>16</v>
      </c>
      <c r="P8" s="2" t="str">
        <f>IF(AND(DMart_Sales_data[[#This Row],[customer_type]]="Member",OR(DMart_Sales_data[[#This Row],[payment_mode]]="UPI",DMart_Sales_data[[#This Row],[payment_mode]]="Card")),"Yes","No")</f>
        <v>No</v>
      </c>
      <c r="R8" s="44" t="s">
        <v>632</v>
      </c>
      <c r="S8" s="45">
        <f>SUMIF(DMart_Sales_data[payment_mode],"=Cash",DMart_Sales_data[sales])</f>
        <v>522964.3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10" t="s">
        <v>26</v>
      </c>
      <c r="O9" s="12" t="s">
        <v>38</v>
      </c>
      <c r="P9" s="2" t="str">
        <f>IF(AND(DMart_Sales_data[[#This Row],[customer_type]]="Member",OR(DMart_Sales_data[[#This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0" t="s">
        <v>40</v>
      </c>
      <c r="O10" s="17" t="s">
        <v>40</v>
      </c>
      <c r="P10" s="2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50" t="s">
        <v>647</v>
      </c>
      <c r="S10" s="27">
        <f>SUMIFS(DMart_Sales_data[sales],DMart_Sales_data[Category],"=Clothing",DMart_Sales_data[Updated_Result],"=East")</f>
        <v>60655.859999999993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41</v>
      </c>
      <c r="B11" s="9" t="s">
        <v>571</v>
      </c>
      <c r="C11" s="4" t="s">
        <v>571</v>
      </c>
      <c r="D11" s="10" t="s">
        <v>33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10" t="s">
        <v>78</v>
      </c>
      <c r="O11" s="12" t="s">
        <v>21</v>
      </c>
      <c r="P11" s="2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1"/>
      <c r="S11" s="50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0" t="s">
        <v>40</v>
      </c>
      <c r="O12" s="17" t="s">
        <v>43</v>
      </c>
      <c r="P12" s="2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50" t="s">
        <v>648</v>
      </c>
      <c r="S12" s="50">
        <f>SUMIFS(DMart_Sales_data[sales],DMart_Sales_data[Updated_Result],"North",DMart_Sales_data[Category],"Electronics",DMart_Sales_data[discount],"&gt;40%")</f>
        <v>36091.269999999997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10" t="s">
        <v>40</v>
      </c>
      <c r="O13" s="12" t="s">
        <v>40</v>
      </c>
      <c r="P13" s="2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1"/>
      <c r="S13" s="50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0" t="s">
        <v>34</v>
      </c>
      <c r="O14" s="17" t="s">
        <v>29</v>
      </c>
      <c r="P14" s="2" t="str">
        <f>IF(AND(DMart_Sales_data[[#This Row],[customer_type]]="Member",OR(DMart_Sales_data[[#This Row],[payment_mode]]="UPI",DMart_Sales_data[[#This Row],[payment_mode]]="Card")),"Yes","No")</f>
        <v>No</v>
      </c>
      <c r="Q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46</v>
      </c>
      <c r="B15" s="9" t="s">
        <v>571</v>
      </c>
      <c r="C15" s="4" t="s">
        <v>571</v>
      </c>
      <c r="D15" s="10" t="s">
        <v>13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10" t="s">
        <v>26</v>
      </c>
      <c r="O15" s="12" t="s">
        <v>541</v>
      </c>
      <c r="P15" s="2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5" t="s">
        <v>651</v>
      </c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10" t="s">
        <v>26</v>
      </c>
      <c r="O16" s="17" t="s">
        <v>38</v>
      </c>
      <c r="P16" s="2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50" t="s">
        <v>649</v>
      </c>
      <c r="S16" s="50">
        <f>COUNT(Sales)</f>
        <v>498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10" t="s">
        <v>40</v>
      </c>
      <c r="O17" s="12" t="s">
        <v>40</v>
      </c>
      <c r="P17" s="2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51" t="s">
        <v>652</v>
      </c>
      <c r="S17" s="52">
        <f>COUNTIF(DMart_Sales_data[payment_mode],"=UPI")</f>
        <v>149</v>
      </c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10" t="s">
        <v>16</v>
      </c>
      <c r="O18" s="17" t="s">
        <v>51</v>
      </c>
      <c r="P18" s="2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51" t="s">
        <v>653</v>
      </c>
      <c r="S18" s="52">
        <f>COUNTIF(DMart_Sales_data[payment_mode],"=Card")</f>
        <v>164</v>
      </c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52</v>
      </c>
      <c r="B19" s="9" t="s">
        <v>571</v>
      </c>
      <c r="C19" s="4" t="s">
        <v>571</v>
      </c>
      <c r="D19" s="10" t="s">
        <v>13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10" t="s">
        <v>40</v>
      </c>
      <c r="O19" s="12" t="s">
        <v>43</v>
      </c>
      <c r="P19" s="2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51" t="s">
        <v>654</v>
      </c>
      <c r="S19" s="52">
        <f>COUNTIF(DMart_Sales_data[payment_mode],"=Cash")</f>
        <v>185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78</v>
      </c>
      <c r="O20" s="17" t="s">
        <v>54</v>
      </c>
      <c r="P20" s="2" t="str">
        <f>IF(AND(DMart_Sales_data[[#This Row],[customer_type]]="Member",OR(DMart_Sales_data[[#This Row],[payment_mode]]="UPI",DMart_Sales_data[[#This Row],[payment_mode]]="Card")),"Yes","No")</f>
        <v>Yes</v>
      </c>
      <c r="Q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10" t="s">
        <v>26</v>
      </c>
      <c r="O21" s="12" t="s">
        <v>38</v>
      </c>
      <c r="P21" s="2" t="str">
        <f>IF(AND(DMart_Sales_data[[#This Row],[customer_type]]="Member",OR(DMart_Sales_data[[#This Row],[payment_mode]]="UPI",DMart_Sales_data[[#This Row],[payment_mode]]="Card")),"Yes","No")</f>
        <v>No</v>
      </c>
      <c r="Q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0" t="s">
        <v>34</v>
      </c>
      <c r="O22" s="17" t="s">
        <v>57</v>
      </c>
      <c r="P22" s="2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51" t="s">
        <v>655</v>
      </c>
      <c r="S22" s="53" cm="1">
        <f t="array" ref="S22">COUNTIF(Sales,"&gt;4000")</f>
        <v>115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58</v>
      </c>
      <c r="B23" s="9" t="s">
        <v>571</v>
      </c>
      <c r="C23" s="4" t="s">
        <v>571</v>
      </c>
      <c r="D23" s="10" t="s">
        <v>33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10" t="s">
        <v>26</v>
      </c>
      <c r="O23" s="12" t="s">
        <v>38</v>
      </c>
      <c r="P23" s="2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51" t="s">
        <v>656</v>
      </c>
      <c r="S23" s="53" cm="1">
        <f t="array" ref="S23">COUNTIFS(Sales,"&gt;4000",DMart_Sales_data[Updated_Result],"=East")</f>
        <v>29</v>
      </c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0" t="s">
        <v>40</v>
      </c>
      <c r="O24" s="17" t="s">
        <v>40</v>
      </c>
      <c r="P24" s="2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51" t="s">
        <v>657</v>
      </c>
      <c r="S24" s="53" cm="1">
        <f t="array" ref="S24">COUNTIFS(Sales,"&gt;4000",DMart_Sales_data[Updated_Result],"West")</f>
        <v>27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10" t="s">
        <v>34</v>
      </c>
      <c r="O25" s="12" t="s">
        <v>34</v>
      </c>
      <c r="P25" s="2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51" t="s">
        <v>658</v>
      </c>
      <c r="S25" s="53" cm="1">
        <f t="array" ref="S25">COUNTIFS(Sales,"&gt;4000",DMart_Sales_data[Updated_Result],"North")</f>
        <v>32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0" t="s">
        <v>99</v>
      </c>
      <c r="O26" s="17" t="s">
        <v>62</v>
      </c>
      <c r="P26" s="2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51" t="s">
        <v>659</v>
      </c>
      <c r="S26" s="53" cm="1">
        <f t="array" ref="S26">COUNTIFS(Sales,"&gt;4000",DMart_Sales_data[Updated_Result],"South")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63</v>
      </c>
      <c r="B27" s="9" t="s">
        <v>571</v>
      </c>
      <c r="C27" s="4" t="s">
        <v>571</v>
      </c>
      <c r="D27" s="10" t="s">
        <v>33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10" t="s">
        <v>99</v>
      </c>
      <c r="O27" s="12" t="s">
        <v>64</v>
      </c>
      <c r="P27" s="2" t="str">
        <f>IF(AND(DMart_Sales_data[[#This Row],[customer_type]]="Member",OR(DMart_Sales_data[[#This Row],[payment_mode]]="UPI",DMart_Sales_data[[#This Row],[payment_mode]]="Card")),"Yes","No")</f>
        <v>No</v>
      </c>
      <c r="Q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34</v>
      </c>
      <c r="O28" s="17" t="s">
        <v>57</v>
      </c>
      <c r="P28" s="2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54" t="s">
        <v>660</v>
      </c>
      <c r="S28" cm="1">
        <f t="array" ref="S28">COUNTIFS(customer_type,"=Member",payment_mode,"=UPI")+COUNTIFS(customer_type,"=Member",payment_mode,"=Card")</f>
        <v>97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10" t="s">
        <v>40</v>
      </c>
      <c r="O29" s="12" t="s">
        <v>67</v>
      </c>
      <c r="P29" s="2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40</v>
      </c>
      <c r="O30" s="17" t="s">
        <v>40</v>
      </c>
      <c r="P30" s="2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56" t="s">
        <v>661</v>
      </c>
      <c r="S30" s="53" cm="1">
        <f t="array" ref="S30">SUMIF(Regions,"North",Sales)</f>
        <v>334964.16000000003</v>
      </c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69</v>
      </c>
      <c r="B31" s="9" t="s">
        <v>571</v>
      </c>
      <c r="C31" s="4" t="s">
        <v>571</v>
      </c>
      <c r="D31" s="10" t="s">
        <v>13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10" t="s">
        <v>34</v>
      </c>
      <c r="O31" s="12" t="s">
        <v>34</v>
      </c>
      <c r="P31" s="2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56" t="s">
        <v>662</v>
      </c>
      <c r="S31" s="53" cm="1">
        <f t="array" ref="S31">SUMIF(Regions,"South",Sales)</f>
        <v>303623.68999999994</v>
      </c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0" t="s">
        <v>40</v>
      </c>
      <c r="O32" s="17" t="s">
        <v>67</v>
      </c>
      <c r="P32" s="2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56" t="s">
        <v>663</v>
      </c>
      <c r="S32" s="53" cm="1">
        <f t="array" ref="S32">SUMIF(Regions,"East",Sales)</f>
        <v>337881.26999999996</v>
      </c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10" t="s">
        <v>16</v>
      </c>
      <c r="O33" s="12" t="s">
        <v>16</v>
      </c>
      <c r="P33" s="2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56" t="s">
        <v>664</v>
      </c>
      <c r="S33" s="53" cm="1">
        <f t="array" ref="S33">SUMIF(Regions,"West",Sales)</f>
        <v>346200.06999999983</v>
      </c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0" t="s">
        <v>78</v>
      </c>
      <c r="O34" s="17" t="s">
        <v>54</v>
      </c>
      <c r="P34" s="2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73</v>
      </c>
      <c r="B35" s="9" t="s">
        <v>571</v>
      </c>
      <c r="C35" s="4" t="s">
        <v>571</v>
      </c>
      <c r="D35" s="10" t="s">
        <v>13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10" t="s">
        <v>26</v>
      </c>
      <c r="O35" s="12" t="s">
        <v>26</v>
      </c>
      <c r="P35" s="2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55" t="s">
        <v>665</v>
      </c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0" t="s">
        <v>16</v>
      </c>
      <c r="O36" s="17" t="s">
        <v>16</v>
      </c>
      <c r="P36" s="2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10" t="s">
        <v>78</v>
      </c>
      <c r="O37" s="12" t="s">
        <v>54</v>
      </c>
      <c r="P37" s="2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56" t="s">
        <v>666</v>
      </c>
      <c r="S37" s="53">
        <f>COUNTIF(DMart_Sales_data[Updated_Result],"East")</f>
        <v>125</v>
      </c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0" t="s">
        <v>16</v>
      </c>
      <c r="O38" s="17" t="s">
        <v>16</v>
      </c>
      <c r="P38" s="2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56" t="s">
        <v>667</v>
      </c>
      <c r="S38" s="53">
        <f>COUNTIF(DMart_Sales_data[Updated_Result],"West")</f>
        <v>125</v>
      </c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77</v>
      </c>
      <c r="B39" s="9" t="s">
        <v>571</v>
      </c>
      <c r="C39" s="4" t="s">
        <v>571</v>
      </c>
      <c r="D39" s="10" t="s">
        <v>33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10" t="s">
        <v>78</v>
      </c>
      <c r="O39" s="12" t="s">
        <v>78</v>
      </c>
      <c r="P39" s="2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56" t="s">
        <v>668</v>
      </c>
      <c r="S39" s="53">
        <f>COUNTIF(DMart_Sales_data[Updated_Result],"North")</f>
        <v>124</v>
      </c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10" t="s">
        <v>34</v>
      </c>
      <c r="O40" s="17" t="s">
        <v>34</v>
      </c>
      <c r="P40" s="2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56" t="s">
        <v>669</v>
      </c>
      <c r="S40" s="53">
        <f>COUNTIF(DMart_Sales_data[Updated_Result],"South")</f>
        <v>124</v>
      </c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10" t="s">
        <v>26</v>
      </c>
      <c r="O41" s="12" t="s">
        <v>38</v>
      </c>
      <c r="P41" s="2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0" t="s">
        <v>78</v>
      </c>
      <c r="O42" s="17" t="s">
        <v>78</v>
      </c>
      <c r="P42" s="2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82</v>
      </c>
      <c r="B43" s="9" t="s">
        <v>571</v>
      </c>
      <c r="C43" s="4" t="s">
        <v>571</v>
      </c>
      <c r="D43" s="10" t="s">
        <v>36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10" t="s">
        <v>40</v>
      </c>
      <c r="O43" s="12" t="s">
        <v>67</v>
      </c>
      <c r="P43" s="2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55" t="s">
        <v>670</v>
      </c>
      <c r="S43" s="1" cm="1">
        <f t="array" ref="S43">SUMIF(oder_date,"&lt;01/01/2024",Sales)</f>
        <v>654586.69000000018</v>
      </c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0" t="s">
        <v>40</v>
      </c>
      <c r="O44" s="17" t="s">
        <v>67</v>
      </c>
      <c r="P44" s="2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55" t="s">
        <v>671</v>
      </c>
      <c r="S44" s="1" cm="1">
        <f t="array" ref="S44">SUMIFS(Sales,oder_date,"&gt;=2024/07/01",oder_date,"&lt;=2024/12/31")</f>
        <v>368049.34999999992</v>
      </c>
      <c r="T44" s="1"/>
      <c r="U44" s="57">
        <f>MAX(oder_date)</f>
        <v>45657</v>
      </c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10" t="s">
        <v>40</v>
      </c>
      <c r="O45" s="12" t="s">
        <v>40</v>
      </c>
      <c r="P45" s="2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0" t="s">
        <v>40</v>
      </c>
      <c r="O46" s="17" t="s">
        <v>40</v>
      </c>
      <c r="P46" s="2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86</v>
      </c>
      <c r="B47" s="9" t="s">
        <v>571</v>
      </c>
      <c r="C47" s="4" t="s">
        <v>571</v>
      </c>
      <c r="D47" s="10" t="s">
        <v>24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10" t="s">
        <v>16</v>
      </c>
      <c r="O47" s="12" t="s">
        <v>16</v>
      </c>
      <c r="P47" s="2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57" t="s">
        <v>672</v>
      </c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10" t="s">
        <v>16</v>
      </c>
      <c r="O48" s="17" t="s">
        <v>51</v>
      </c>
      <c r="P48" s="2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10" t="s">
        <v>34</v>
      </c>
      <c r="O49" s="12" t="s">
        <v>29</v>
      </c>
      <c r="P49" s="2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56" t="s">
        <v>726</v>
      </c>
      <c r="S49" s="56" t="s">
        <v>572</v>
      </c>
      <c r="T49" s="56" t="s">
        <v>9</v>
      </c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0" t="s">
        <v>34</v>
      </c>
      <c r="O50" s="17" t="s">
        <v>57</v>
      </c>
      <c r="P50" s="2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34" t="s">
        <v>17</v>
      </c>
      <c r="S50" s="34">
        <f>VLOOKUP(R50,DMart_Sales_data[],MATCH(DMart_Sales_data[[#Headers],[sales]],DMart_Sales_data[#Headers],0),FALSE)</f>
        <v>3802.97</v>
      </c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90</v>
      </c>
      <c r="B51" s="9" t="s">
        <v>571</v>
      </c>
      <c r="C51" s="4" t="s">
        <v>571</v>
      </c>
      <c r="D51" s="10" t="s">
        <v>33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10" t="s">
        <v>26</v>
      </c>
      <c r="O51" s="12" t="s">
        <v>38</v>
      </c>
      <c r="P51" s="2" t="str">
        <f>IF(AND(DMart_Sales_data[[#This Row],[customer_type]]="Member",OR(DMart_Sales_data[[#This Row],[payment_mode]]="UPI",DMart_Sales_data[[#This Row],[payment_mode]]="Card")),"Yes","No")</f>
        <v>No</v>
      </c>
      <c r="Q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26</v>
      </c>
      <c r="O52" s="17" t="s">
        <v>26</v>
      </c>
      <c r="P52" s="2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10" t="s">
        <v>78</v>
      </c>
      <c r="O53" s="12" t="s">
        <v>21</v>
      </c>
      <c r="P53" s="2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10" t="s">
        <v>16</v>
      </c>
      <c r="O54" s="17" t="s">
        <v>94</v>
      </c>
      <c r="P54" s="2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95</v>
      </c>
      <c r="B55" s="9" t="s">
        <v>571</v>
      </c>
      <c r="C55" s="4" t="s">
        <v>571</v>
      </c>
      <c r="D55" s="10" t="s">
        <v>18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10" t="s">
        <v>26</v>
      </c>
      <c r="O55" s="12" t="s">
        <v>38</v>
      </c>
      <c r="P55" s="2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40</v>
      </c>
      <c r="O56" s="17" t="s">
        <v>40</v>
      </c>
      <c r="P56" s="2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10" t="s">
        <v>34</v>
      </c>
      <c r="O57" s="12" t="s">
        <v>34</v>
      </c>
      <c r="P57" s="2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10" t="s">
        <v>99</v>
      </c>
      <c r="O58" s="17" t="s">
        <v>99</v>
      </c>
      <c r="P58" s="2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100</v>
      </c>
      <c r="B59" s="9" t="s">
        <v>571</v>
      </c>
      <c r="C59" s="4" t="s">
        <v>571</v>
      </c>
      <c r="D59" s="10" t="s">
        <v>18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10" t="s">
        <v>16</v>
      </c>
      <c r="O59" s="12" t="s">
        <v>94</v>
      </c>
      <c r="P59" s="2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10" t="s">
        <v>99</v>
      </c>
      <c r="O60" s="17" t="s">
        <v>62</v>
      </c>
      <c r="P60" s="2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10" t="s">
        <v>16</v>
      </c>
      <c r="O61" s="12" t="s">
        <v>16</v>
      </c>
      <c r="P61" s="2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0" t="s">
        <v>99</v>
      </c>
      <c r="O62" s="17" t="s">
        <v>64</v>
      </c>
      <c r="P62" s="2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104</v>
      </c>
      <c r="B63" s="9" t="s">
        <v>571</v>
      </c>
      <c r="C63" s="4" t="s">
        <v>571</v>
      </c>
      <c r="D63" s="10" t="s">
        <v>13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10" t="s">
        <v>34</v>
      </c>
      <c r="O63" s="12" t="s">
        <v>29</v>
      </c>
      <c r="P63" s="2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10" t="s">
        <v>99</v>
      </c>
      <c r="O64" s="17" t="s">
        <v>99</v>
      </c>
      <c r="P64" s="2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10" t="s">
        <v>99</v>
      </c>
      <c r="O65" s="12" t="s">
        <v>99</v>
      </c>
      <c r="P65" s="2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34</v>
      </c>
      <c r="O66" s="17" t="s">
        <v>29</v>
      </c>
      <c r="P66" s="2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108</v>
      </c>
      <c r="B67" s="9" t="s">
        <v>571</v>
      </c>
      <c r="C67" s="4" t="s">
        <v>571</v>
      </c>
      <c r="D67" s="10" t="s">
        <v>33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10" t="s">
        <v>40</v>
      </c>
      <c r="O67" s="12" t="s">
        <v>40</v>
      </c>
      <c r="P67" s="2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0" t="s">
        <v>34</v>
      </c>
      <c r="O68" s="17" t="s">
        <v>34</v>
      </c>
      <c r="P68" s="2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10" t="s">
        <v>40</v>
      </c>
      <c r="O69" s="12" t="s">
        <v>67</v>
      </c>
      <c r="P69" s="2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10" t="s">
        <v>99</v>
      </c>
      <c r="O70" s="17" t="s">
        <v>99</v>
      </c>
      <c r="P70" s="2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112</v>
      </c>
      <c r="B71" s="9" t="s">
        <v>571</v>
      </c>
      <c r="C71" s="4" t="s">
        <v>571</v>
      </c>
      <c r="D71" s="10" t="s">
        <v>33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10" t="s">
        <v>34</v>
      </c>
      <c r="O71" s="12" t="s">
        <v>57</v>
      </c>
      <c r="P71" s="2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0" t="s">
        <v>34</v>
      </c>
      <c r="O72" s="17" t="s">
        <v>34</v>
      </c>
      <c r="P72" s="2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10" t="s">
        <v>78</v>
      </c>
      <c r="O73" s="12" t="s">
        <v>78</v>
      </c>
      <c r="P73" s="2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0" t="s">
        <v>99</v>
      </c>
      <c r="O74" s="17" t="s">
        <v>62</v>
      </c>
      <c r="P74" s="2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116</v>
      </c>
      <c r="B75" s="9" t="s">
        <v>571</v>
      </c>
      <c r="C75" s="4" t="s">
        <v>571</v>
      </c>
      <c r="D75" s="10" t="s">
        <v>24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34</v>
      </c>
      <c r="O75" s="12" t="s">
        <v>29</v>
      </c>
      <c r="P75" s="2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10" t="s">
        <v>16</v>
      </c>
      <c r="O76" s="17" t="s">
        <v>51</v>
      </c>
      <c r="P76" s="2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51</v>
      </c>
      <c r="P77" s="2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10" t="s">
        <v>78</v>
      </c>
      <c r="O78" s="17" t="s">
        <v>54</v>
      </c>
      <c r="P78" s="2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120</v>
      </c>
      <c r="B79" s="9" t="s">
        <v>571</v>
      </c>
      <c r="C79" s="4" t="s">
        <v>571</v>
      </c>
      <c r="D79" s="10" t="s">
        <v>18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10" t="s">
        <v>16</v>
      </c>
      <c r="O79" s="12" t="s">
        <v>94</v>
      </c>
      <c r="P79" s="2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10" t="s">
        <v>34</v>
      </c>
      <c r="O80" s="17" t="s">
        <v>29</v>
      </c>
      <c r="P80" s="2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10" t="s">
        <v>40</v>
      </c>
      <c r="O81" s="12" t="s">
        <v>40</v>
      </c>
      <c r="P81" s="2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0" t="s">
        <v>40</v>
      </c>
      <c r="O82" s="17" t="s">
        <v>40</v>
      </c>
      <c r="P82" s="2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124</v>
      </c>
      <c r="B83" s="9" t="s">
        <v>571</v>
      </c>
      <c r="C83" s="4" t="s">
        <v>571</v>
      </c>
      <c r="D83" s="10" t="s">
        <v>13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10" t="s">
        <v>26</v>
      </c>
      <c r="O83" s="12" t="s">
        <v>38</v>
      </c>
      <c r="P83" s="2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0" t="s">
        <v>16</v>
      </c>
      <c r="O84" s="17" t="s">
        <v>94</v>
      </c>
      <c r="P84" s="2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10" t="s">
        <v>34</v>
      </c>
      <c r="O85" s="12" t="s">
        <v>57</v>
      </c>
      <c r="P85" s="2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10" t="s">
        <v>34</v>
      </c>
      <c r="O86" s="17" t="s">
        <v>57</v>
      </c>
      <c r="P86" s="2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128</v>
      </c>
      <c r="B87" s="9" t="s">
        <v>571</v>
      </c>
      <c r="C87" s="4" t="s">
        <v>571</v>
      </c>
      <c r="D87" s="10" t="s">
        <v>36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10" t="s">
        <v>40</v>
      </c>
      <c r="O87" s="12" t="s">
        <v>40</v>
      </c>
      <c r="P87" s="2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0" t="s">
        <v>26</v>
      </c>
      <c r="O88" s="17" t="s">
        <v>26</v>
      </c>
      <c r="P88" s="2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10" t="s">
        <v>78</v>
      </c>
      <c r="O89" s="12" t="s">
        <v>54</v>
      </c>
      <c r="P89" s="2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0" t="s">
        <v>34</v>
      </c>
      <c r="O90" s="17" t="s">
        <v>34</v>
      </c>
      <c r="P90" s="2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132</v>
      </c>
      <c r="B91" s="9" t="s">
        <v>571</v>
      </c>
      <c r="C91" s="4" t="s">
        <v>571</v>
      </c>
      <c r="D91" s="10" t="s">
        <v>33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10" t="s">
        <v>78</v>
      </c>
      <c r="O91" s="12" t="s">
        <v>78</v>
      </c>
      <c r="P91" s="2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0" t="s">
        <v>78</v>
      </c>
      <c r="O92" s="17" t="s">
        <v>54</v>
      </c>
      <c r="P92" s="2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10" t="s">
        <v>34</v>
      </c>
      <c r="O93" s="12" t="s">
        <v>29</v>
      </c>
      <c r="P93" s="2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10" t="s">
        <v>34</v>
      </c>
      <c r="O94" s="17" t="s">
        <v>29</v>
      </c>
      <c r="P94" s="2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136</v>
      </c>
      <c r="B95" s="9" t="s">
        <v>571</v>
      </c>
      <c r="C95" s="4" t="s">
        <v>571</v>
      </c>
      <c r="D95" s="10" t="s">
        <v>24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10" t="s">
        <v>99</v>
      </c>
      <c r="O95" s="12" t="s">
        <v>99</v>
      </c>
      <c r="P95" s="2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10" t="s">
        <v>34</v>
      </c>
      <c r="O96" s="17" t="s">
        <v>34</v>
      </c>
      <c r="P96" s="2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10" t="s">
        <v>16</v>
      </c>
      <c r="O97" s="12" t="s">
        <v>94</v>
      </c>
      <c r="P97" s="2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0" t="s">
        <v>40</v>
      </c>
      <c r="O98" s="17" t="s">
        <v>67</v>
      </c>
      <c r="P98" s="2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140</v>
      </c>
      <c r="B99" s="9" t="s">
        <v>571</v>
      </c>
      <c r="C99" s="4" t="s">
        <v>571</v>
      </c>
      <c r="D99" s="10" t="s">
        <v>33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10" t="s">
        <v>34</v>
      </c>
      <c r="O99" s="12" t="s">
        <v>57</v>
      </c>
      <c r="P99" s="2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0" t="s">
        <v>99</v>
      </c>
      <c r="O100" s="17" t="s">
        <v>62</v>
      </c>
      <c r="P100" s="2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10" t="s">
        <v>26</v>
      </c>
      <c r="O101" s="12" t="s">
        <v>47</v>
      </c>
      <c r="P101" s="2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0" t="s">
        <v>34</v>
      </c>
      <c r="O102" s="17" t="s">
        <v>29</v>
      </c>
      <c r="P102" s="2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144</v>
      </c>
      <c r="B103" s="9" t="s">
        <v>571</v>
      </c>
      <c r="C103" s="4" t="s">
        <v>571</v>
      </c>
      <c r="D103" s="10" t="s">
        <v>33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10" t="s">
        <v>40</v>
      </c>
      <c r="O103" s="12" t="s">
        <v>40</v>
      </c>
      <c r="P103" s="2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0" t="s">
        <v>78</v>
      </c>
      <c r="O104" s="17" t="s">
        <v>21</v>
      </c>
      <c r="P104" s="2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10" t="s">
        <v>78</v>
      </c>
      <c r="O105" s="12" t="s">
        <v>21</v>
      </c>
      <c r="P105" s="2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10" t="s">
        <v>16</v>
      </c>
      <c r="O106" s="17" t="s">
        <v>94</v>
      </c>
      <c r="P106" s="2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148</v>
      </c>
      <c r="B107" s="9" t="s">
        <v>571</v>
      </c>
      <c r="C107" s="4" t="s">
        <v>571</v>
      </c>
      <c r="D107" s="10" t="s">
        <v>33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10" t="s">
        <v>78</v>
      </c>
      <c r="O107" s="12" t="s">
        <v>54</v>
      </c>
      <c r="P107" s="2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0" t="s">
        <v>34</v>
      </c>
      <c r="O108" s="17" t="s">
        <v>57</v>
      </c>
      <c r="P108" s="2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10" t="s">
        <v>78</v>
      </c>
      <c r="O109" s="12" t="s">
        <v>78</v>
      </c>
      <c r="P109" s="2" t="str">
        <f>IF(AND(DMart_Sales_data[[#This Row],[customer_type]]="Member",OR(DMart_Sales_data[[#This Row],[payment_mode]]="UPI",DMart_Sales_data[[#This Row],[payment_mode]]="Card")),"Yes","No")</f>
        <v>Yes</v>
      </c>
      <c r="Q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0" t="s">
        <v>16</v>
      </c>
      <c r="O110" s="17" t="s">
        <v>51</v>
      </c>
      <c r="P110" s="2" t="str">
        <f>IF(AND(DMart_Sales_data[[#This Row],[customer_type]]="Member",OR(DMart_Sales_data[[#This Row],[payment_mode]]="UPI",DMart_Sales_data[[#This Row],[payment_mode]]="Card")),"Yes","No")</f>
        <v>No</v>
      </c>
      <c r="Q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152</v>
      </c>
      <c r="B111" s="9" t="s">
        <v>571</v>
      </c>
      <c r="C111" s="4" t="s">
        <v>571</v>
      </c>
      <c r="D111" s="10" t="s">
        <v>36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26</v>
      </c>
      <c r="O111" s="12" t="s">
        <v>38</v>
      </c>
      <c r="P111" s="2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10" t="s">
        <v>99</v>
      </c>
      <c r="O112" s="17" t="s">
        <v>62</v>
      </c>
      <c r="P112" s="2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10" t="s">
        <v>40</v>
      </c>
      <c r="O113" s="12" t="s">
        <v>67</v>
      </c>
      <c r="P113" s="2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10" t="s">
        <v>34</v>
      </c>
      <c r="O114" s="17" t="s">
        <v>57</v>
      </c>
      <c r="P114" s="2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156</v>
      </c>
      <c r="B115" s="9" t="s">
        <v>571</v>
      </c>
      <c r="C115" s="4" t="s">
        <v>571</v>
      </c>
      <c r="D115" s="10" t="s">
        <v>36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10" t="s">
        <v>34</v>
      </c>
      <c r="O115" s="12" t="s">
        <v>57</v>
      </c>
      <c r="P115" s="2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10" t="s">
        <v>99</v>
      </c>
      <c r="O116" s="17" t="s">
        <v>64</v>
      </c>
      <c r="P116" s="2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10" t="s">
        <v>78</v>
      </c>
      <c r="O117" s="12" t="s">
        <v>21</v>
      </c>
      <c r="P117" s="2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10" t="s">
        <v>16</v>
      </c>
      <c r="O118" s="17" t="s">
        <v>94</v>
      </c>
      <c r="P118" s="2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160</v>
      </c>
      <c r="B119" s="9" t="s">
        <v>571</v>
      </c>
      <c r="C119" s="4" t="s">
        <v>571</v>
      </c>
      <c r="D119" s="10" t="s">
        <v>33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10" t="s">
        <v>16</v>
      </c>
      <c r="O119" s="12" t="s">
        <v>16</v>
      </c>
      <c r="P119" s="2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0" t="s">
        <v>40</v>
      </c>
      <c r="O120" s="17" t="s">
        <v>67</v>
      </c>
      <c r="P120" s="2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10" t="s">
        <v>78</v>
      </c>
      <c r="O121" s="12" t="s">
        <v>78</v>
      </c>
      <c r="P121" s="2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10" t="s">
        <v>16</v>
      </c>
      <c r="O122" s="17" t="s">
        <v>51</v>
      </c>
      <c r="P122" s="2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164</v>
      </c>
      <c r="B123" s="9" t="s">
        <v>571</v>
      </c>
      <c r="C123" s="4" t="s">
        <v>571</v>
      </c>
      <c r="D123" s="10" t="s">
        <v>33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10" t="s">
        <v>78</v>
      </c>
      <c r="O123" s="12" t="s">
        <v>78</v>
      </c>
      <c r="P123" s="2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10" t="s">
        <v>26</v>
      </c>
      <c r="O124" s="17" t="s">
        <v>26</v>
      </c>
      <c r="P124" s="2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10" t="s">
        <v>34</v>
      </c>
      <c r="O125" s="12" t="s">
        <v>34</v>
      </c>
      <c r="P125" s="2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10" t="s">
        <v>34</v>
      </c>
      <c r="O126" s="17" t="s">
        <v>29</v>
      </c>
      <c r="P126" s="2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168</v>
      </c>
      <c r="B127" s="9" t="s">
        <v>571</v>
      </c>
      <c r="C127" s="4" t="s">
        <v>571</v>
      </c>
      <c r="D127" s="10" t="s">
        <v>36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10" t="s">
        <v>40</v>
      </c>
      <c r="O127" s="12" t="s">
        <v>67</v>
      </c>
      <c r="P127" s="2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0" t="s">
        <v>78</v>
      </c>
      <c r="O128" s="17" t="s">
        <v>21</v>
      </c>
      <c r="P128" s="2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10" t="s">
        <v>26</v>
      </c>
      <c r="O129" s="12" t="s">
        <v>26</v>
      </c>
      <c r="P129" s="2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10" t="s">
        <v>26</v>
      </c>
      <c r="O130" s="17" t="s">
        <v>38</v>
      </c>
      <c r="P130" s="2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172</v>
      </c>
      <c r="B131" s="9" t="s">
        <v>571</v>
      </c>
      <c r="C131" s="4" t="s">
        <v>571</v>
      </c>
      <c r="D131" s="10" t="s">
        <v>18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2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10" t="s">
        <v>34</v>
      </c>
      <c r="O132" s="17" t="s">
        <v>34</v>
      </c>
      <c r="P132" s="2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10" t="s">
        <v>40</v>
      </c>
      <c r="O133" s="12" t="s">
        <v>67</v>
      </c>
      <c r="P133" s="2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10" t="s">
        <v>16</v>
      </c>
      <c r="O134" s="17" t="s">
        <v>51</v>
      </c>
      <c r="P134" s="2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176</v>
      </c>
      <c r="B135" s="9" t="s">
        <v>571</v>
      </c>
      <c r="C135" s="4" t="s">
        <v>571</v>
      </c>
      <c r="D135" s="10" t="s">
        <v>36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10" t="s">
        <v>16</v>
      </c>
      <c r="O135" s="12" t="s">
        <v>94</v>
      </c>
      <c r="P135" s="2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0" t="s">
        <v>40</v>
      </c>
      <c r="O136" s="17" t="s">
        <v>43</v>
      </c>
      <c r="P136" s="2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10" t="s">
        <v>40</v>
      </c>
      <c r="O137" s="12" t="s">
        <v>43</v>
      </c>
      <c r="P137" s="2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10" t="s">
        <v>26</v>
      </c>
      <c r="O138" s="17" t="s">
        <v>38</v>
      </c>
      <c r="P138" s="2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180</v>
      </c>
      <c r="B139" s="9" t="s">
        <v>571</v>
      </c>
      <c r="C139" s="4" t="s">
        <v>571</v>
      </c>
      <c r="D139" s="10" t="s">
        <v>24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10" t="s">
        <v>26</v>
      </c>
      <c r="O139" s="12" t="s">
        <v>38</v>
      </c>
      <c r="P139" s="2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26</v>
      </c>
      <c r="O140" s="17" t="s">
        <v>38</v>
      </c>
      <c r="P140" s="2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10" t="s">
        <v>16</v>
      </c>
      <c r="O141" s="12" t="s">
        <v>51</v>
      </c>
      <c r="P141" s="2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10" t="s">
        <v>99</v>
      </c>
      <c r="O142" s="17" t="s">
        <v>64</v>
      </c>
      <c r="P142" s="2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184</v>
      </c>
      <c r="B143" s="9" t="s">
        <v>571</v>
      </c>
      <c r="C143" s="4" t="s">
        <v>571</v>
      </c>
      <c r="D143" s="10" t="s">
        <v>13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10" t="s">
        <v>40</v>
      </c>
      <c r="O143" s="12" t="s">
        <v>67</v>
      </c>
      <c r="P143" s="2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0" t="s">
        <v>99</v>
      </c>
      <c r="O144" s="17" t="s">
        <v>99</v>
      </c>
      <c r="P144" s="2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10" t="s">
        <v>26</v>
      </c>
      <c r="O145" s="12" t="s">
        <v>26</v>
      </c>
      <c r="P145" s="2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0" t="s">
        <v>26</v>
      </c>
      <c r="O146" s="17" t="s">
        <v>38</v>
      </c>
      <c r="P146" s="2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188</v>
      </c>
      <c r="B147" s="9" t="s">
        <v>571</v>
      </c>
      <c r="C147" s="4" t="s">
        <v>571</v>
      </c>
      <c r="D147" s="10" t="s">
        <v>33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10" t="s">
        <v>26</v>
      </c>
      <c r="O147" s="12" t="s">
        <v>26</v>
      </c>
      <c r="P147" s="2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0" t="s">
        <v>26</v>
      </c>
      <c r="O148" s="17" t="s">
        <v>47</v>
      </c>
      <c r="P148" s="2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10" t="s">
        <v>16</v>
      </c>
      <c r="O149" s="12" t="s">
        <v>16</v>
      </c>
      <c r="P149" s="2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0" t="s">
        <v>40</v>
      </c>
      <c r="O150" s="17" t="s">
        <v>43</v>
      </c>
      <c r="P150" s="2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192</v>
      </c>
      <c r="B151" s="9" t="s">
        <v>571</v>
      </c>
      <c r="C151" s="4" t="s">
        <v>571</v>
      </c>
      <c r="D151" s="10" t="s">
        <v>24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10" t="s">
        <v>26</v>
      </c>
      <c r="O151" s="12" t="s">
        <v>26</v>
      </c>
      <c r="P151" s="2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0" t="s">
        <v>16</v>
      </c>
      <c r="O152" s="17" t="s">
        <v>94</v>
      </c>
      <c r="P152" s="2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10" t="s">
        <v>40</v>
      </c>
      <c r="O153" s="12" t="s">
        <v>67</v>
      </c>
      <c r="P153" s="2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10" t="s">
        <v>40</v>
      </c>
      <c r="O154" s="17" t="s">
        <v>43</v>
      </c>
      <c r="P154" s="2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196</v>
      </c>
      <c r="B155" s="9" t="s">
        <v>571</v>
      </c>
      <c r="C155" s="4" t="s">
        <v>571</v>
      </c>
      <c r="D155" s="10" t="s">
        <v>13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10" t="s">
        <v>16</v>
      </c>
      <c r="O155" s="12" t="s">
        <v>51</v>
      </c>
      <c r="P155" s="2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10" t="s">
        <v>16</v>
      </c>
      <c r="O156" s="17" t="s">
        <v>94</v>
      </c>
      <c r="P156" s="2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10" t="s">
        <v>78</v>
      </c>
      <c r="O157" s="12" t="s">
        <v>21</v>
      </c>
      <c r="P157" s="2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40</v>
      </c>
      <c r="O158" s="17" t="s">
        <v>43</v>
      </c>
      <c r="P158" s="2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200</v>
      </c>
      <c r="B159" s="9" t="s">
        <v>571</v>
      </c>
      <c r="C159" s="4" t="s">
        <v>571</v>
      </c>
      <c r="D159" s="10" t="s">
        <v>13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10" t="s">
        <v>78</v>
      </c>
      <c r="O159" s="12" t="s">
        <v>54</v>
      </c>
      <c r="P159" s="2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78</v>
      </c>
      <c r="O160" s="17" t="s">
        <v>54</v>
      </c>
      <c r="P160" s="2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10" t="s">
        <v>26</v>
      </c>
      <c r="O161" s="12" t="s">
        <v>47</v>
      </c>
      <c r="P161" s="2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0" t="s">
        <v>34</v>
      </c>
      <c r="O162" s="17" t="s">
        <v>34</v>
      </c>
      <c r="P162" s="2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204</v>
      </c>
      <c r="B163" s="9" t="s">
        <v>571</v>
      </c>
      <c r="C163" s="4" t="s">
        <v>571</v>
      </c>
      <c r="D163" s="10" t="s">
        <v>33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10" t="s">
        <v>34</v>
      </c>
      <c r="O163" s="12" t="s">
        <v>57</v>
      </c>
      <c r="P163" s="2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10" t="s">
        <v>40</v>
      </c>
      <c r="O164" s="17" t="s">
        <v>40</v>
      </c>
      <c r="P164" s="2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10" t="s">
        <v>34</v>
      </c>
      <c r="O165" s="12" t="s">
        <v>34</v>
      </c>
      <c r="P165" s="2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0" t="s">
        <v>99</v>
      </c>
      <c r="O166" s="17" t="s">
        <v>62</v>
      </c>
      <c r="P166" s="2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208</v>
      </c>
      <c r="B167" s="9" t="s">
        <v>571</v>
      </c>
      <c r="C167" s="4" t="s">
        <v>571</v>
      </c>
      <c r="D167" s="10" t="s">
        <v>36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10" t="s">
        <v>40</v>
      </c>
      <c r="O167" s="12" t="s">
        <v>40</v>
      </c>
      <c r="P167" s="2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10" t="s">
        <v>78</v>
      </c>
      <c r="O168" s="17" t="s">
        <v>54</v>
      </c>
      <c r="P168" s="2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10" t="s">
        <v>40</v>
      </c>
      <c r="O169" s="12" t="s">
        <v>40</v>
      </c>
      <c r="P169" s="2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10" t="s">
        <v>78</v>
      </c>
      <c r="O170" s="17" t="s">
        <v>54</v>
      </c>
      <c r="P170" s="2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212</v>
      </c>
      <c r="B171" s="9" t="s">
        <v>571</v>
      </c>
      <c r="C171" s="4" t="s">
        <v>571</v>
      </c>
      <c r="D171" s="10" t="s">
        <v>24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10" t="s">
        <v>78</v>
      </c>
      <c r="O171" s="12" t="s">
        <v>21</v>
      </c>
      <c r="P171" s="2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40</v>
      </c>
      <c r="O172" s="17" t="s">
        <v>43</v>
      </c>
      <c r="P172" s="2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10" t="s">
        <v>26</v>
      </c>
      <c r="O173" s="12" t="s">
        <v>38</v>
      </c>
      <c r="P173" s="2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10" t="s">
        <v>16</v>
      </c>
      <c r="O174" s="17" t="s">
        <v>16</v>
      </c>
      <c r="P174" s="2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216</v>
      </c>
      <c r="B175" s="9" t="s">
        <v>571</v>
      </c>
      <c r="C175" s="4" t="s">
        <v>571</v>
      </c>
      <c r="D175" s="10" t="s">
        <v>13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10" t="s">
        <v>34</v>
      </c>
      <c r="O175" s="12" t="s">
        <v>34</v>
      </c>
      <c r="P175" s="2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10" t="s">
        <v>99</v>
      </c>
      <c r="O176" s="17" t="s">
        <v>62</v>
      </c>
      <c r="P176" s="2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10" t="s">
        <v>34</v>
      </c>
      <c r="O177" s="12" t="s">
        <v>57</v>
      </c>
      <c r="P177" s="2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10" t="s">
        <v>40</v>
      </c>
      <c r="O178" s="17" t="s">
        <v>40</v>
      </c>
      <c r="P178" s="2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220</v>
      </c>
      <c r="B179" s="9" t="s">
        <v>571</v>
      </c>
      <c r="C179" s="4" t="s">
        <v>571</v>
      </c>
      <c r="D179" s="10" t="s">
        <v>33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10" t="s">
        <v>26</v>
      </c>
      <c r="O179" s="12" t="s">
        <v>38</v>
      </c>
      <c r="P179" s="2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10" t="s">
        <v>26</v>
      </c>
      <c r="O180" s="17" t="s">
        <v>26</v>
      </c>
      <c r="P180" s="2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10" t="s">
        <v>16</v>
      </c>
      <c r="O181" s="12" t="s">
        <v>94</v>
      </c>
      <c r="P181" s="2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0" t="s">
        <v>99</v>
      </c>
      <c r="O182" s="17" t="s">
        <v>64</v>
      </c>
      <c r="P182" s="2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224</v>
      </c>
      <c r="B183" s="9" t="s">
        <v>571</v>
      </c>
      <c r="C183" s="4" t="s">
        <v>571</v>
      </c>
      <c r="D183" s="10" t="s">
        <v>33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10" t="s">
        <v>40</v>
      </c>
      <c r="O183" s="12" t="s">
        <v>43</v>
      </c>
      <c r="P183" s="2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10" t="s">
        <v>16</v>
      </c>
      <c r="O184" s="17" t="s">
        <v>51</v>
      </c>
      <c r="P184" s="2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99</v>
      </c>
      <c r="O185" s="12" t="s">
        <v>64</v>
      </c>
      <c r="P185" s="2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34</v>
      </c>
      <c r="O186" s="17" t="s">
        <v>57</v>
      </c>
      <c r="P186" s="2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228</v>
      </c>
      <c r="B187" s="9" t="s">
        <v>571</v>
      </c>
      <c r="C187" s="4" t="s">
        <v>571</v>
      </c>
      <c r="D187" s="10" t="s">
        <v>24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10" t="s">
        <v>26</v>
      </c>
      <c r="O187" s="12" t="s">
        <v>47</v>
      </c>
      <c r="P187" s="2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10" t="s">
        <v>99</v>
      </c>
      <c r="O188" s="17" t="s">
        <v>62</v>
      </c>
      <c r="P188" s="2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10" t="s">
        <v>99</v>
      </c>
      <c r="O189" s="12" t="s">
        <v>64</v>
      </c>
      <c r="P189" s="2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26</v>
      </c>
      <c r="O190" s="17" t="s">
        <v>26</v>
      </c>
      <c r="P190" s="2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232</v>
      </c>
      <c r="B191" s="9" t="s">
        <v>571</v>
      </c>
      <c r="C191" s="4" t="s">
        <v>571</v>
      </c>
      <c r="D191" s="10" t="s">
        <v>13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10" t="s">
        <v>34</v>
      </c>
      <c r="O191" s="12" t="s">
        <v>57</v>
      </c>
      <c r="P191" s="2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10" t="s">
        <v>99</v>
      </c>
      <c r="O192" s="17" t="s">
        <v>64</v>
      </c>
      <c r="P192" s="2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10" t="s">
        <v>26</v>
      </c>
      <c r="O193" s="12" t="s">
        <v>26</v>
      </c>
      <c r="P193" s="2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10" t="s">
        <v>40</v>
      </c>
      <c r="O194" s="17" t="s">
        <v>67</v>
      </c>
      <c r="P194" s="2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236</v>
      </c>
      <c r="B195" s="9" t="s">
        <v>571</v>
      </c>
      <c r="C195" s="4" t="s">
        <v>571</v>
      </c>
      <c r="D195" s="10" t="s">
        <v>18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10" t="s">
        <v>16</v>
      </c>
      <c r="O195" s="12" t="s">
        <v>16</v>
      </c>
      <c r="P195" s="2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99</v>
      </c>
      <c r="O196" s="17" t="s">
        <v>64</v>
      </c>
      <c r="P196" s="2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10" t="s">
        <v>26</v>
      </c>
      <c r="O197" s="12" t="s">
        <v>38</v>
      </c>
      <c r="P197" s="2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51</v>
      </c>
      <c r="P198" s="2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240</v>
      </c>
      <c r="B199" s="9" t="s">
        <v>571</v>
      </c>
      <c r="C199" s="4" t="s">
        <v>571</v>
      </c>
      <c r="D199" s="10" t="s">
        <v>24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10" t="s">
        <v>78</v>
      </c>
      <c r="O199" s="12" t="s">
        <v>78</v>
      </c>
      <c r="P199" s="2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0" t="s">
        <v>34</v>
      </c>
      <c r="O200" s="17" t="s">
        <v>29</v>
      </c>
      <c r="P200" s="2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10" t="s">
        <v>40</v>
      </c>
      <c r="O201" s="12" t="s">
        <v>40</v>
      </c>
      <c r="P201" s="2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0" t="s">
        <v>40</v>
      </c>
      <c r="O202" s="17" t="s">
        <v>67</v>
      </c>
      <c r="P202" s="2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244</v>
      </c>
      <c r="B203" s="9" t="s">
        <v>571</v>
      </c>
      <c r="C203" s="4" t="s">
        <v>571</v>
      </c>
      <c r="D203" s="10" t="s">
        <v>24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10" t="s">
        <v>99</v>
      </c>
      <c r="O203" s="12" t="s">
        <v>99</v>
      </c>
      <c r="P203" s="2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0" t="s">
        <v>78</v>
      </c>
      <c r="O204" s="17" t="s">
        <v>21</v>
      </c>
      <c r="P204" s="2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10" t="s">
        <v>16</v>
      </c>
      <c r="O205" s="12" t="s">
        <v>51</v>
      </c>
      <c r="P205" s="2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10" t="s">
        <v>99</v>
      </c>
      <c r="O206" s="17" t="s">
        <v>64</v>
      </c>
      <c r="P206" s="2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248</v>
      </c>
      <c r="B207" s="9" t="s">
        <v>571</v>
      </c>
      <c r="C207" s="4" t="s">
        <v>571</v>
      </c>
      <c r="D207" s="10" t="s">
        <v>24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10" t="s">
        <v>99</v>
      </c>
      <c r="O207" s="12" t="s">
        <v>62</v>
      </c>
      <c r="P207" s="2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0" t="s">
        <v>40</v>
      </c>
      <c r="O208" s="17" t="s">
        <v>67</v>
      </c>
      <c r="P208" s="2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10" t="s">
        <v>26</v>
      </c>
      <c r="O209" s="12" t="s">
        <v>47</v>
      </c>
      <c r="P209" s="2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0" t="s">
        <v>26</v>
      </c>
      <c r="O210" s="17" t="s">
        <v>38</v>
      </c>
      <c r="P210" s="2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252</v>
      </c>
      <c r="B211" s="9" t="s">
        <v>571</v>
      </c>
      <c r="C211" s="4" t="s">
        <v>571</v>
      </c>
      <c r="D211" s="10" t="s">
        <v>33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10" t="s">
        <v>16</v>
      </c>
      <c r="O211" s="12" t="s">
        <v>16</v>
      </c>
      <c r="P211" s="2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0" t="s">
        <v>99</v>
      </c>
      <c r="O212" s="17" t="s">
        <v>64</v>
      </c>
      <c r="P212" s="2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10" t="s">
        <v>99</v>
      </c>
      <c r="O213" s="12" t="s">
        <v>99</v>
      </c>
      <c r="P213" s="2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0" t="s">
        <v>99</v>
      </c>
      <c r="O214" s="17" t="s">
        <v>62</v>
      </c>
      <c r="P214" s="2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256</v>
      </c>
      <c r="B215" s="9" t="s">
        <v>571</v>
      </c>
      <c r="C215" s="4" t="s">
        <v>571</v>
      </c>
      <c r="D215" s="10" t="s">
        <v>33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10" t="s">
        <v>40</v>
      </c>
      <c r="O215" s="12" t="s">
        <v>43</v>
      </c>
      <c r="P215" s="2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26</v>
      </c>
      <c r="O216" s="17" t="s">
        <v>47</v>
      </c>
      <c r="P216" s="2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10" t="s">
        <v>78</v>
      </c>
      <c r="O217" s="12" t="s">
        <v>21</v>
      </c>
      <c r="P217" s="2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0" t="s">
        <v>78</v>
      </c>
      <c r="O218" s="17" t="s">
        <v>54</v>
      </c>
      <c r="P218" s="2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260</v>
      </c>
      <c r="B219" s="9" t="s">
        <v>571</v>
      </c>
      <c r="C219" s="4" t="s">
        <v>571</v>
      </c>
      <c r="D219" s="10" t="s">
        <v>13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10" t="s">
        <v>26</v>
      </c>
      <c r="O219" s="12" t="s">
        <v>38</v>
      </c>
      <c r="P219" s="2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10" t="s">
        <v>34</v>
      </c>
      <c r="O220" s="17" t="s">
        <v>57</v>
      </c>
      <c r="P220" s="2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10" t="s">
        <v>40</v>
      </c>
      <c r="O221" s="12" t="s">
        <v>43</v>
      </c>
      <c r="P221" s="2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0" t="s">
        <v>40</v>
      </c>
      <c r="O222" s="17" t="s">
        <v>67</v>
      </c>
      <c r="P222" s="2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264</v>
      </c>
      <c r="B223" s="9" t="s">
        <v>571</v>
      </c>
      <c r="C223" s="4" t="s">
        <v>571</v>
      </c>
      <c r="D223" s="10" t="s">
        <v>13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10" t="s">
        <v>34</v>
      </c>
      <c r="O223" s="12" t="s">
        <v>29</v>
      </c>
      <c r="P223" s="2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0" t="s">
        <v>78</v>
      </c>
      <c r="O224" s="17" t="s">
        <v>54</v>
      </c>
      <c r="P224" s="2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10" t="s">
        <v>78</v>
      </c>
      <c r="O225" s="12" t="s">
        <v>21</v>
      </c>
      <c r="P225" s="2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0" t="s">
        <v>40</v>
      </c>
      <c r="O226" s="17" t="s">
        <v>40</v>
      </c>
      <c r="P226" s="2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268</v>
      </c>
      <c r="B227" s="9" t="s">
        <v>571</v>
      </c>
      <c r="C227" s="4" t="s">
        <v>571</v>
      </c>
      <c r="D227" s="10" t="s">
        <v>33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10" t="s">
        <v>34</v>
      </c>
      <c r="O227" s="12" t="s">
        <v>29</v>
      </c>
      <c r="P227" s="2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10" t="s">
        <v>40</v>
      </c>
      <c r="O228" s="17" t="s">
        <v>40</v>
      </c>
      <c r="P228" s="2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10" t="s">
        <v>16</v>
      </c>
      <c r="O229" s="12" t="s">
        <v>94</v>
      </c>
      <c r="P229" s="2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10" t="s">
        <v>99</v>
      </c>
      <c r="O230" s="17" t="s">
        <v>62</v>
      </c>
      <c r="P230" s="2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272</v>
      </c>
      <c r="B231" s="9" t="s">
        <v>571</v>
      </c>
      <c r="C231" s="4" t="s">
        <v>571</v>
      </c>
      <c r="D231" s="10" t="s">
        <v>13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10" t="s">
        <v>26</v>
      </c>
      <c r="O231" s="12" t="s">
        <v>47</v>
      </c>
      <c r="P231" s="2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0" t="s">
        <v>16</v>
      </c>
      <c r="O232" s="17" t="s">
        <v>94</v>
      </c>
      <c r="P232" s="2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10" t="s">
        <v>99</v>
      </c>
      <c r="O233" s="12" t="s">
        <v>99</v>
      </c>
      <c r="P233" s="2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10" t="s">
        <v>26</v>
      </c>
      <c r="O234" s="17" t="s">
        <v>38</v>
      </c>
      <c r="P234" s="2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276</v>
      </c>
      <c r="B235" s="9" t="s">
        <v>571</v>
      </c>
      <c r="C235" s="4" t="s">
        <v>571</v>
      </c>
      <c r="D235" s="10" t="s">
        <v>18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10" t="s">
        <v>16</v>
      </c>
      <c r="O235" s="12" t="s">
        <v>94</v>
      </c>
      <c r="P235" s="2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0" t="s">
        <v>34</v>
      </c>
      <c r="O236" s="17" t="s">
        <v>57</v>
      </c>
      <c r="P236" s="2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10" t="s">
        <v>78</v>
      </c>
      <c r="O237" s="12" t="s">
        <v>78</v>
      </c>
      <c r="P237" s="2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10" t="s">
        <v>16</v>
      </c>
      <c r="O238" s="17" t="s">
        <v>16</v>
      </c>
      <c r="P238" s="2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280</v>
      </c>
      <c r="B239" s="9" t="s">
        <v>571</v>
      </c>
      <c r="C239" s="4" t="s">
        <v>571</v>
      </c>
      <c r="D239" s="10" t="s">
        <v>13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10" t="s">
        <v>34</v>
      </c>
      <c r="O239" s="12" t="s">
        <v>57</v>
      </c>
      <c r="P239" s="2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10" t="s">
        <v>99</v>
      </c>
      <c r="O240" s="17" t="s">
        <v>64</v>
      </c>
      <c r="P240" s="2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10" t="s">
        <v>99</v>
      </c>
      <c r="O241" s="12" t="s">
        <v>64</v>
      </c>
      <c r="P241" s="2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0" t="s">
        <v>78</v>
      </c>
      <c r="O242" s="17" t="s">
        <v>54</v>
      </c>
      <c r="P242" s="2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284</v>
      </c>
      <c r="B243" s="9" t="s">
        <v>571</v>
      </c>
      <c r="C243" s="4" t="s">
        <v>571</v>
      </c>
      <c r="D243" s="10" t="s">
        <v>24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10" t="s">
        <v>26</v>
      </c>
      <c r="O243" s="12" t="s">
        <v>38</v>
      </c>
      <c r="P243" s="2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10" t="s">
        <v>26</v>
      </c>
      <c r="O244" s="17" t="s">
        <v>47</v>
      </c>
      <c r="P244" s="2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10" t="s">
        <v>78</v>
      </c>
      <c r="O245" s="12" t="s">
        <v>21</v>
      </c>
      <c r="P245" s="2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0" t="s">
        <v>34</v>
      </c>
      <c r="O246" s="17" t="s">
        <v>29</v>
      </c>
      <c r="P246" s="2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288</v>
      </c>
      <c r="B247" s="9" t="s">
        <v>571</v>
      </c>
      <c r="C247" s="4" t="s">
        <v>571</v>
      </c>
      <c r="D247" s="10" t="s">
        <v>18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10" t="s">
        <v>99</v>
      </c>
      <c r="O247" s="12" t="s">
        <v>99</v>
      </c>
      <c r="P247" s="2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10" t="s">
        <v>26</v>
      </c>
      <c r="O248" s="17" t="s">
        <v>47</v>
      </c>
      <c r="P248" s="2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40</v>
      </c>
      <c r="O249" s="12" t="s">
        <v>43</v>
      </c>
      <c r="P249" s="2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78</v>
      </c>
      <c r="O250" s="17" t="s">
        <v>54</v>
      </c>
      <c r="P250" s="2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292</v>
      </c>
      <c r="B251" s="9" t="s">
        <v>571</v>
      </c>
      <c r="C251" s="4" t="s">
        <v>571</v>
      </c>
      <c r="D251" s="10" t="s">
        <v>33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10" t="s">
        <v>26</v>
      </c>
      <c r="O251" s="12" t="s">
        <v>47</v>
      </c>
      <c r="P251" s="2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10" t="s">
        <v>16</v>
      </c>
      <c r="O252" s="17" t="s">
        <v>16</v>
      </c>
      <c r="P252" s="2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10" t="s">
        <v>99</v>
      </c>
      <c r="O253" s="12" t="s">
        <v>99</v>
      </c>
      <c r="P253" s="2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10" t="s">
        <v>34</v>
      </c>
      <c r="O254" s="17" t="s">
        <v>29</v>
      </c>
      <c r="P254" s="2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296</v>
      </c>
      <c r="B255" s="9" t="s">
        <v>571</v>
      </c>
      <c r="C255" s="4" t="s">
        <v>571</v>
      </c>
      <c r="D255" s="10" t="s">
        <v>13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10" t="s">
        <v>78</v>
      </c>
      <c r="O255" s="12" t="s">
        <v>54</v>
      </c>
      <c r="P255" s="2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10" t="s">
        <v>99</v>
      </c>
      <c r="O256" s="17" t="s">
        <v>64</v>
      </c>
      <c r="P256" s="2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34</v>
      </c>
      <c r="O257" s="12" t="s">
        <v>57</v>
      </c>
      <c r="P257" s="2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40</v>
      </c>
      <c r="O258" s="17" t="s">
        <v>40</v>
      </c>
      <c r="P258" s="2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300</v>
      </c>
      <c r="B259" s="9" t="s">
        <v>571</v>
      </c>
      <c r="C259" s="4" t="s">
        <v>571</v>
      </c>
      <c r="D259" s="10" t="s">
        <v>18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10" t="s">
        <v>26</v>
      </c>
      <c r="O259" s="12" t="s">
        <v>38</v>
      </c>
      <c r="P259" s="2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0" t="s">
        <v>78</v>
      </c>
      <c r="O260" s="17" t="s">
        <v>21</v>
      </c>
      <c r="P260" s="2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10" t="s">
        <v>40</v>
      </c>
      <c r="O261" s="12" t="s">
        <v>40</v>
      </c>
      <c r="P261" s="2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0" t="s">
        <v>34</v>
      </c>
      <c r="O262" s="17" t="s">
        <v>29</v>
      </c>
      <c r="P262" s="2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304</v>
      </c>
      <c r="B263" s="9" t="s">
        <v>571</v>
      </c>
      <c r="C263" s="4" t="s">
        <v>571</v>
      </c>
      <c r="D263" s="10" t="s">
        <v>24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10" t="s">
        <v>78</v>
      </c>
      <c r="O263" s="12" t="s">
        <v>78</v>
      </c>
      <c r="P263" s="2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10" t="s">
        <v>99</v>
      </c>
      <c r="O264" s="17" t="s">
        <v>64</v>
      </c>
      <c r="P264" s="2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10" t="s">
        <v>26</v>
      </c>
      <c r="O265" s="12" t="s">
        <v>38</v>
      </c>
      <c r="P265" s="2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10" t="s">
        <v>99</v>
      </c>
      <c r="O266" s="17" t="s">
        <v>99</v>
      </c>
      <c r="P266" s="2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308</v>
      </c>
      <c r="B267" s="9" t="s">
        <v>571</v>
      </c>
      <c r="C267" s="4" t="s">
        <v>571</v>
      </c>
      <c r="D267" s="10" t="s">
        <v>33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10" t="s">
        <v>40</v>
      </c>
      <c r="O267" s="12" t="s">
        <v>40</v>
      </c>
      <c r="P267" s="2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10" t="s">
        <v>40</v>
      </c>
      <c r="O268" s="17" t="s">
        <v>40</v>
      </c>
      <c r="P268" s="2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10" t="s">
        <v>40</v>
      </c>
      <c r="O269" s="12" t="s">
        <v>40</v>
      </c>
      <c r="P269" s="2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10" t="s">
        <v>16</v>
      </c>
      <c r="O270" s="17" t="s">
        <v>51</v>
      </c>
      <c r="P270" s="2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312</v>
      </c>
      <c r="B271" s="9" t="s">
        <v>571</v>
      </c>
      <c r="C271" s="4" t="s">
        <v>571</v>
      </c>
      <c r="D271" s="10" t="s">
        <v>13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10" t="s">
        <v>78</v>
      </c>
      <c r="O271" s="12" t="s">
        <v>78</v>
      </c>
      <c r="P271" s="2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10" t="s">
        <v>34</v>
      </c>
      <c r="O272" s="17" t="s">
        <v>29</v>
      </c>
      <c r="P272" s="2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10" t="s">
        <v>34</v>
      </c>
      <c r="O273" s="12" t="s">
        <v>29</v>
      </c>
      <c r="P273" s="2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0" t="s">
        <v>99</v>
      </c>
      <c r="O274" s="17" t="s">
        <v>64</v>
      </c>
      <c r="P274" s="2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316</v>
      </c>
      <c r="B275" s="9" t="s">
        <v>571</v>
      </c>
      <c r="C275" s="4" t="s">
        <v>571</v>
      </c>
      <c r="D275" s="10" t="s">
        <v>33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10" t="s">
        <v>99</v>
      </c>
      <c r="O275" s="12" t="s">
        <v>99</v>
      </c>
      <c r="P275" s="2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10" t="s">
        <v>99</v>
      </c>
      <c r="O276" s="17" t="s">
        <v>64</v>
      </c>
      <c r="P276" s="2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10" t="s">
        <v>99</v>
      </c>
      <c r="O277" s="12" t="s">
        <v>99</v>
      </c>
      <c r="P277" s="2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0" t="s">
        <v>99</v>
      </c>
      <c r="O278" s="17" t="s">
        <v>62</v>
      </c>
      <c r="P278" s="2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320</v>
      </c>
      <c r="B279" s="9" t="s">
        <v>571</v>
      </c>
      <c r="C279" s="4" t="s">
        <v>571</v>
      </c>
      <c r="D279" s="10" t="s">
        <v>24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10" t="s">
        <v>78</v>
      </c>
      <c r="O279" s="12" t="s">
        <v>21</v>
      </c>
      <c r="P279" s="2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0" t="s">
        <v>78</v>
      </c>
      <c r="O280" s="17" t="s">
        <v>54</v>
      </c>
      <c r="P280" s="2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10" t="s">
        <v>26</v>
      </c>
      <c r="O281" s="12" t="s">
        <v>47</v>
      </c>
      <c r="P281" s="2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0" t="s">
        <v>34</v>
      </c>
      <c r="O282" s="17" t="s">
        <v>57</v>
      </c>
      <c r="P282" s="2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324</v>
      </c>
      <c r="B283" s="9" t="s">
        <v>571</v>
      </c>
      <c r="C283" s="4" t="s">
        <v>571</v>
      </c>
      <c r="D283" s="10" t="s">
        <v>36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10" t="s">
        <v>34</v>
      </c>
      <c r="O283" s="12" t="s">
        <v>29</v>
      </c>
      <c r="P283" s="2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10" t="s">
        <v>26</v>
      </c>
      <c r="O284" s="17" t="s">
        <v>26</v>
      </c>
      <c r="P284" s="2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10" t="s">
        <v>78</v>
      </c>
      <c r="O285" s="12" t="s">
        <v>21</v>
      </c>
      <c r="P285" s="2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0" t="s">
        <v>78</v>
      </c>
      <c r="O286" s="17" t="s">
        <v>21</v>
      </c>
      <c r="P286" s="2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328</v>
      </c>
      <c r="B287" s="9" t="s">
        <v>571</v>
      </c>
      <c r="C287" s="4" t="s">
        <v>571</v>
      </c>
      <c r="D287" s="10" t="s">
        <v>24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10" t="s">
        <v>78</v>
      </c>
      <c r="O287" s="12" t="s">
        <v>21</v>
      </c>
      <c r="P287" s="2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0" t="s">
        <v>16</v>
      </c>
      <c r="O288" s="17" t="s">
        <v>16</v>
      </c>
      <c r="P288" s="2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10" t="s">
        <v>40</v>
      </c>
      <c r="O289" s="12" t="s">
        <v>67</v>
      </c>
      <c r="P289" s="2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0" t="s">
        <v>34</v>
      </c>
      <c r="O290" s="17" t="s">
        <v>57</v>
      </c>
      <c r="P290" s="2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332</v>
      </c>
      <c r="B291" s="9" t="s">
        <v>571</v>
      </c>
      <c r="C291" s="4" t="s">
        <v>571</v>
      </c>
      <c r="D291" s="10" t="s">
        <v>13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10" t="s">
        <v>40</v>
      </c>
      <c r="O291" s="12" t="s">
        <v>40</v>
      </c>
      <c r="P291" s="2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10" t="s">
        <v>78</v>
      </c>
      <c r="O292" s="17" t="s">
        <v>78</v>
      </c>
      <c r="P292" s="2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10" t="s">
        <v>34</v>
      </c>
      <c r="O293" s="12" t="s">
        <v>34</v>
      </c>
      <c r="P293" s="2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0" t="s">
        <v>78</v>
      </c>
      <c r="O294" s="17" t="s">
        <v>54</v>
      </c>
      <c r="P294" s="2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336</v>
      </c>
      <c r="B295" s="9" t="s">
        <v>571</v>
      </c>
      <c r="C295" s="4" t="s">
        <v>571</v>
      </c>
      <c r="D295" s="10" t="s">
        <v>33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10" t="s">
        <v>34</v>
      </c>
      <c r="O295" s="12" t="s">
        <v>57</v>
      </c>
      <c r="P295" s="2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10" t="s">
        <v>40</v>
      </c>
      <c r="O296" s="17" t="s">
        <v>40</v>
      </c>
      <c r="P296" s="2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10" t="s">
        <v>40</v>
      </c>
      <c r="O297" s="12" t="s">
        <v>43</v>
      </c>
      <c r="P297" s="2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10" t="s">
        <v>40</v>
      </c>
      <c r="O298" s="17" t="s">
        <v>67</v>
      </c>
      <c r="P298" s="2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340</v>
      </c>
      <c r="B299" s="9" t="s">
        <v>571</v>
      </c>
      <c r="C299" s="4" t="s">
        <v>571</v>
      </c>
      <c r="D299" s="10" t="s">
        <v>24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10" t="s">
        <v>26</v>
      </c>
      <c r="O299" s="12" t="s">
        <v>26</v>
      </c>
      <c r="P299" s="2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0" t="s">
        <v>40</v>
      </c>
      <c r="O300" s="17" t="s">
        <v>67</v>
      </c>
      <c r="P300" s="2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78</v>
      </c>
      <c r="O301" s="12" t="s">
        <v>78</v>
      </c>
      <c r="P301" s="2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0" t="s">
        <v>26</v>
      </c>
      <c r="O302" s="17" t="s">
        <v>26</v>
      </c>
      <c r="P302" s="2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344</v>
      </c>
      <c r="B303" s="9" t="s">
        <v>571</v>
      </c>
      <c r="C303" s="4" t="s">
        <v>571</v>
      </c>
      <c r="D303" s="10" t="s">
        <v>33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99</v>
      </c>
      <c r="O303" s="12" t="s">
        <v>64</v>
      </c>
      <c r="P303" s="2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0" t="s">
        <v>26</v>
      </c>
      <c r="O304" s="17" t="s">
        <v>47</v>
      </c>
      <c r="P304" s="2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10" t="s">
        <v>78</v>
      </c>
      <c r="O305" s="12" t="s">
        <v>54</v>
      </c>
      <c r="P305" s="2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0" t="s">
        <v>78</v>
      </c>
      <c r="O306" s="17" t="s">
        <v>21</v>
      </c>
      <c r="P306" s="2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348</v>
      </c>
      <c r="B307" s="9" t="s">
        <v>571</v>
      </c>
      <c r="C307" s="4" t="s">
        <v>571</v>
      </c>
      <c r="D307" s="10" t="s">
        <v>36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10" t="s">
        <v>34</v>
      </c>
      <c r="O307" s="12" t="s">
        <v>34</v>
      </c>
      <c r="P307" s="2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0" t="s">
        <v>26</v>
      </c>
      <c r="O308" s="17" t="s">
        <v>38</v>
      </c>
      <c r="P308" s="2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10" t="s">
        <v>16</v>
      </c>
      <c r="O309" s="12" t="s">
        <v>94</v>
      </c>
      <c r="P309" s="2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0" t="s">
        <v>26</v>
      </c>
      <c r="O310" s="17" t="s">
        <v>47</v>
      </c>
      <c r="P310" s="2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352</v>
      </c>
      <c r="B311" s="9" t="s">
        <v>571</v>
      </c>
      <c r="C311" s="4" t="s">
        <v>571</v>
      </c>
      <c r="D311" s="10" t="s">
        <v>36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10" t="s">
        <v>34</v>
      </c>
      <c r="O311" s="12" t="s">
        <v>29</v>
      </c>
      <c r="P311" s="2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0" t="s">
        <v>99</v>
      </c>
      <c r="O312" s="17" t="s">
        <v>99</v>
      </c>
      <c r="P312" s="2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10" t="s">
        <v>78</v>
      </c>
      <c r="O313" s="12" t="s">
        <v>54</v>
      </c>
      <c r="P313" s="2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0" t="s">
        <v>99</v>
      </c>
      <c r="O314" s="17" t="s">
        <v>62</v>
      </c>
      <c r="P314" s="2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356</v>
      </c>
      <c r="B315" s="9" t="s">
        <v>571</v>
      </c>
      <c r="C315" s="4" t="s">
        <v>571</v>
      </c>
      <c r="D315" s="10" t="s">
        <v>24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10" t="s">
        <v>34</v>
      </c>
      <c r="O315" s="12" t="s">
        <v>57</v>
      </c>
      <c r="P315" s="2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0" t="s">
        <v>34</v>
      </c>
      <c r="O316" s="17" t="s">
        <v>57</v>
      </c>
      <c r="P316" s="2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10" t="s">
        <v>16</v>
      </c>
      <c r="O317" s="12" t="s">
        <v>94</v>
      </c>
      <c r="P317" s="2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0" t="s">
        <v>78</v>
      </c>
      <c r="O318" s="17" t="s">
        <v>78</v>
      </c>
      <c r="P318" s="2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360</v>
      </c>
      <c r="B319" s="9" t="s">
        <v>571</v>
      </c>
      <c r="C319" s="4" t="s">
        <v>571</v>
      </c>
      <c r="D319" s="10" t="s">
        <v>13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10" t="s">
        <v>99</v>
      </c>
      <c r="O319" s="12" t="s">
        <v>64</v>
      </c>
      <c r="P319" s="2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34</v>
      </c>
      <c r="O320" s="17" t="s">
        <v>57</v>
      </c>
      <c r="P320" s="2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10" t="s">
        <v>40</v>
      </c>
      <c r="O321" s="12" t="s">
        <v>40</v>
      </c>
      <c r="P321" s="2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0" t="s">
        <v>34</v>
      </c>
      <c r="O322" s="17" t="s">
        <v>57</v>
      </c>
      <c r="P322" s="2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364</v>
      </c>
      <c r="B323" s="9" t="s">
        <v>571</v>
      </c>
      <c r="C323" s="4" t="s">
        <v>571</v>
      </c>
      <c r="D323" s="10" t="s">
        <v>36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10" t="s">
        <v>99</v>
      </c>
      <c r="O323" s="12" t="s">
        <v>99</v>
      </c>
      <c r="P323" s="2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10" t="s">
        <v>40</v>
      </c>
      <c r="O324" s="17" t="s">
        <v>40</v>
      </c>
      <c r="P324" s="2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10" t="s">
        <v>78</v>
      </c>
      <c r="O325" s="12" t="s">
        <v>21</v>
      </c>
      <c r="P325" s="2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0" t="s">
        <v>16</v>
      </c>
      <c r="O326" s="17" t="s">
        <v>94</v>
      </c>
      <c r="P326" s="2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368</v>
      </c>
      <c r="B327" s="9" t="s">
        <v>571</v>
      </c>
      <c r="C327" s="4" t="s">
        <v>571</v>
      </c>
      <c r="D327" s="10" t="s">
        <v>36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10" t="s">
        <v>78</v>
      </c>
      <c r="O327" s="12" t="s">
        <v>54</v>
      </c>
      <c r="P327" s="2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0" t="s">
        <v>34</v>
      </c>
      <c r="O328" s="17" t="s">
        <v>34</v>
      </c>
      <c r="P328" s="2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40</v>
      </c>
      <c r="O329" s="12" t="s">
        <v>43</v>
      </c>
      <c r="P329" s="2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10" t="s">
        <v>34</v>
      </c>
      <c r="O330" s="17" t="s">
        <v>57</v>
      </c>
      <c r="P330" s="2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372</v>
      </c>
      <c r="B331" s="9" t="s">
        <v>571</v>
      </c>
      <c r="C331" s="4" t="s">
        <v>571</v>
      </c>
      <c r="D331" s="10" t="s">
        <v>13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10" t="s">
        <v>78</v>
      </c>
      <c r="O331" s="12" t="s">
        <v>78</v>
      </c>
      <c r="P331" s="2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0" t="s">
        <v>78</v>
      </c>
      <c r="O332" s="17" t="s">
        <v>54</v>
      </c>
      <c r="P332" s="2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10" t="s">
        <v>16</v>
      </c>
      <c r="O333" s="12" t="s">
        <v>16</v>
      </c>
      <c r="P333" s="2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0" t="s">
        <v>40</v>
      </c>
      <c r="O334" s="17" t="s">
        <v>43</v>
      </c>
      <c r="P334" s="2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376</v>
      </c>
      <c r="B335" s="9" t="s">
        <v>571</v>
      </c>
      <c r="C335" s="4" t="s">
        <v>571</v>
      </c>
      <c r="D335" s="10" t="s">
        <v>18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10" t="s">
        <v>78</v>
      </c>
      <c r="O335" s="12" t="s">
        <v>54</v>
      </c>
      <c r="P335" s="2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0" t="s">
        <v>99</v>
      </c>
      <c r="O336" s="17" t="s">
        <v>99</v>
      </c>
      <c r="P336" s="2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10" t="s">
        <v>99</v>
      </c>
      <c r="O337" s="12" t="s">
        <v>99</v>
      </c>
      <c r="P337" s="2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0" t="s">
        <v>16</v>
      </c>
      <c r="O338" s="17" t="s">
        <v>16</v>
      </c>
      <c r="P338" s="2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380</v>
      </c>
      <c r="B339" s="9" t="s">
        <v>571</v>
      </c>
      <c r="C339" s="4" t="s">
        <v>571</v>
      </c>
      <c r="D339" s="10" t="s">
        <v>33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10" t="s">
        <v>99</v>
      </c>
      <c r="O339" s="12" t="s">
        <v>62</v>
      </c>
      <c r="P339" s="2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0" t="s">
        <v>26</v>
      </c>
      <c r="O340" s="17" t="s">
        <v>47</v>
      </c>
      <c r="P340" s="2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10" t="s">
        <v>78</v>
      </c>
      <c r="O341" s="12" t="s">
        <v>54</v>
      </c>
      <c r="P341" s="2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0" t="s">
        <v>34</v>
      </c>
      <c r="O342" s="17" t="s">
        <v>29</v>
      </c>
      <c r="P342" s="2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384</v>
      </c>
      <c r="B343" s="9" t="s">
        <v>571</v>
      </c>
      <c r="C343" s="4" t="s">
        <v>571</v>
      </c>
      <c r="D343" s="10" t="s">
        <v>24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10" t="s">
        <v>78</v>
      </c>
      <c r="O343" s="12" t="s">
        <v>54</v>
      </c>
      <c r="P343" s="2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10" t="s">
        <v>34</v>
      </c>
      <c r="O344" s="17" t="s">
        <v>29</v>
      </c>
      <c r="P344" s="2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10" t="s">
        <v>16</v>
      </c>
      <c r="O345" s="12" t="s">
        <v>51</v>
      </c>
      <c r="P345" s="2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94</v>
      </c>
      <c r="P346" s="2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571</v>
      </c>
      <c r="C347" s="4" t="s">
        <v>571</v>
      </c>
      <c r="D347" s="10" t="s">
        <v>18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10" t="s">
        <v>34</v>
      </c>
      <c r="O347" s="12" t="s">
        <v>57</v>
      </c>
      <c r="P347" s="2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0" t="s">
        <v>16</v>
      </c>
      <c r="O348" s="17" t="s">
        <v>51</v>
      </c>
      <c r="P348" s="2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10" t="s">
        <v>40</v>
      </c>
      <c r="O349" s="12" t="s">
        <v>43</v>
      </c>
      <c r="P349" s="2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10" t="s">
        <v>16</v>
      </c>
      <c r="O350" s="17" t="s">
        <v>16</v>
      </c>
      <c r="P350" s="2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392</v>
      </c>
      <c r="B351" s="9" t="s">
        <v>571</v>
      </c>
      <c r="C351" s="4" t="s">
        <v>571</v>
      </c>
      <c r="D351" s="10" t="s">
        <v>13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10" t="s">
        <v>99</v>
      </c>
      <c r="O351" s="12" t="s">
        <v>62</v>
      </c>
      <c r="P351" s="2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26</v>
      </c>
      <c r="O352" s="17" t="s">
        <v>26</v>
      </c>
      <c r="P352" s="2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10" t="s">
        <v>78</v>
      </c>
      <c r="O353" s="12" t="s">
        <v>78</v>
      </c>
      <c r="P353" s="2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0" t="s">
        <v>78</v>
      </c>
      <c r="O354" s="17" t="s">
        <v>54</v>
      </c>
      <c r="P354" s="2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396</v>
      </c>
      <c r="B355" s="9" t="s">
        <v>571</v>
      </c>
      <c r="C355" s="4" t="s">
        <v>571</v>
      </c>
      <c r="D355" s="10" t="s">
        <v>18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10" t="s">
        <v>99</v>
      </c>
      <c r="O355" s="12" t="s">
        <v>99</v>
      </c>
      <c r="P355" s="2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99</v>
      </c>
      <c r="O356" s="17" t="s">
        <v>99</v>
      </c>
      <c r="P356" s="2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10" t="s">
        <v>16</v>
      </c>
      <c r="O357" s="12" t="s">
        <v>94</v>
      </c>
      <c r="P357" s="2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51</v>
      </c>
      <c r="P358" s="2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400</v>
      </c>
      <c r="B359" s="9" t="s">
        <v>571</v>
      </c>
      <c r="C359" s="4" t="s">
        <v>571</v>
      </c>
      <c r="D359" s="10" t="s">
        <v>24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10" t="s">
        <v>26</v>
      </c>
      <c r="O359" s="12" t="s">
        <v>26</v>
      </c>
      <c r="P359" s="2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10" t="s">
        <v>78</v>
      </c>
      <c r="O360" s="17" t="s">
        <v>78</v>
      </c>
      <c r="P360" s="2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10" t="s">
        <v>99</v>
      </c>
      <c r="O361" s="12" t="s">
        <v>99</v>
      </c>
      <c r="P361" s="2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0" t="s">
        <v>78</v>
      </c>
      <c r="O362" s="17" t="s">
        <v>54</v>
      </c>
      <c r="P362" s="2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404</v>
      </c>
      <c r="B363" s="9" t="s">
        <v>571</v>
      </c>
      <c r="C363" s="4" t="s">
        <v>571</v>
      </c>
      <c r="D363" s="10" t="s">
        <v>36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10" t="s">
        <v>26</v>
      </c>
      <c r="O363" s="12" t="s">
        <v>26</v>
      </c>
      <c r="P363" s="2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10" t="s">
        <v>99</v>
      </c>
      <c r="O364" s="17" t="s">
        <v>62</v>
      </c>
      <c r="P364" s="2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10" t="s">
        <v>78</v>
      </c>
      <c r="O365" s="12" t="s">
        <v>21</v>
      </c>
      <c r="P365" s="2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0" t="s">
        <v>26</v>
      </c>
      <c r="O366" s="17" t="s">
        <v>26</v>
      </c>
      <c r="P366" s="2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408</v>
      </c>
      <c r="B367" s="9" t="s">
        <v>571</v>
      </c>
      <c r="C367" s="4" t="s">
        <v>571</v>
      </c>
      <c r="D367" s="10" t="s">
        <v>18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10" t="s">
        <v>16</v>
      </c>
      <c r="O367" s="12" t="s">
        <v>94</v>
      </c>
      <c r="P367" s="2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34</v>
      </c>
      <c r="O368" s="17" t="s">
        <v>57</v>
      </c>
      <c r="P368" s="2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10" t="s">
        <v>99</v>
      </c>
      <c r="O369" s="12" t="s">
        <v>62</v>
      </c>
      <c r="P369" s="2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10" t="s">
        <v>78</v>
      </c>
      <c r="O370" s="17" t="s">
        <v>54</v>
      </c>
      <c r="P370" s="2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412</v>
      </c>
      <c r="B371" s="9" t="s">
        <v>571</v>
      </c>
      <c r="C371" s="4" t="s">
        <v>571</v>
      </c>
      <c r="D371" s="10" t="s">
        <v>36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10" t="s">
        <v>99</v>
      </c>
      <c r="O371" s="12" t="s">
        <v>64</v>
      </c>
      <c r="P371" s="2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40</v>
      </c>
      <c r="O372" s="17" t="s">
        <v>67</v>
      </c>
      <c r="P372" s="2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10" t="s">
        <v>40</v>
      </c>
      <c r="O373" s="12" t="s">
        <v>40</v>
      </c>
      <c r="P373" s="2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0" t="s">
        <v>16</v>
      </c>
      <c r="O374" s="17" t="s">
        <v>16</v>
      </c>
      <c r="P374" s="2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416</v>
      </c>
      <c r="B375" s="9" t="s">
        <v>571</v>
      </c>
      <c r="C375" s="4" t="s">
        <v>571</v>
      </c>
      <c r="D375" s="10" t="s">
        <v>13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10" t="s">
        <v>34</v>
      </c>
      <c r="O375" s="12" t="s">
        <v>34</v>
      </c>
      <c r="P375" s="2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10" t="s">
        <v>99</v>
      </c>
      <c r="O376" s="17" t="s">
        <v>99</v>
      </c>
      <c r="P376" s="2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10" t="s">
        <v>99</v>
      </c>
      <c r="O377" s="12" t="s">
        <v>64</v>
      </c>
      <c r="P377" s="2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40</v>
      </c>
      <c r="O378" s="17" t="s">
        <v>40</v>
      </c>
      <c r="P378" s="2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420</v>
      </c>
      <c r="B379" s="9" t="s">
        <v>571</v>
      </c>
      <c r="C379" s="4" t="s">
        <v>571</v>
      </c>
      <c r="D379" s="10" t="s">
        <v>33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10" t="s">
        <v>26</v>
      </c>
      <c r="O379" s="12" t="s">
        <v>47</v>
      </c>
      <c r="P379" s="2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99</v>
      </c>
      <c r="O380" s="17" t="s">
        <v>64</v>
      </c>
      <c r="P380" s="2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99</v>
      </c>
      <c r="O381" s="12" t="s">
        <v>64</v>
      </c>
      <c r="P381" s="2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10" t="s">
        <v>34</v>
      </c>
      <c r="O382" s="17" t="s">
        <v>34</v>
      </c>
      <c r="P382" s="2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424</v>
      </c>
      <c r="B383" s="9" t="s">
        <v>571</v>
      </c>
      <c r="C383" s="4" t="s">
        <v>571</v>
      </c>
      <c r="D383" s="10" t="s">
        <v>36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78</v>
      </c>
      <c r="O383" s="12" t="s">
        <v>78</v>
      </c>
      <c r="P383" s="2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0" t="s">
        <v>26</v>
      </c>
      <c r="O384" s="17" t="s">
        <v>38</v>
      </c>
      <c r="P384" s="2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10" t="s">
        <v>78</v>
      </c>
      <c r="O385" s="12" t="s">
        <v>54</v>
      </c>
      <c r="P385" s="2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0" t="s">
        <v>16</v>
      </c>
      <c r="O386" s="17" t="s">
        <v>16</v>
      </c>
      <c r="P386" s="2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428</v>
      </c>
      <c r="B387" s="9" t="s">
        <v>571</v>
      </c>
      <c r="C387" s="4" t="s">
        <v>571</v>
      </c>
      <c r="D387" s="10" t="s">
        <v>13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10" t="s">
        <v>78</v>
      </c>
      <c r="O387" s="12" t="s">
        <v>78</v>
      </c>
      <c r="P387" s="2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0" t="s">
        <v>16</v>
      </c>
      <c r="O388" s="17" t="s">
        <v>16</v>
      </c>
      <c r="P388" s="2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10" t="s">
        <v>34</v>
      </c>
      <c r="O389" s="12" t="s">
        <v>29</v>
      </c>
      <c r="P389" s="2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10" t="s">
        <v>16</v>
      </c>
      <c r="O390" s="17" t="s">
        <v>94</v>
      </c>
      <c r="P390" s="2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432</v>
      </c>
      <c r="B391" s="9" t="s">
        <v>571</v>
      </c>
      <c r="C391" s="4" t="s">
        <v>571</v>
      </c>
      <c r="D391" s="10" t="s">
        <v>36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10" t="s">
        <v>26</v>
      </c>
      <c r="O391" s="12" t="s">
        <v>26</v>
      </c>
      <c r="P391" s="2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10" t="s">
        <v>34</v>
      </c>
      <c r="O392" s="17" t="s">
        <v>57</v>
      </c>
      <c r="P392" s="2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10" t="s">
        <v>99</v>
      </c>
      <c r="O393" s="12" t="s">
        <v>62</v>
      </c>
      <c r="P393" s="2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10" t="s">
        <v>40</v>
      </c>
      <c r="O394" s="17" t="s">
        <v>67</v>
      </c>
      <c r="P394" s="2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436</v>
      </c>
      <c r="B395" s="9" t="s">
        <v>571</v>
      </c>
      <c r="C395" s="4" t="s">
        <v>571</v>
      </c>
      <c r="D395" s="10" t="s">
        <v>36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10" t="s">
        <v>99</v>
      </c>
      <c r="O395" s="12" t="s">
        <v>62</v>
      </c>
      <c r="P395" s="2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0" t="s">
        <v>34</v>
      </c>
      <c r="O396" s="17" t="s">
        <v>29</v>
      </c>
      <c r="P396" s="2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10" t="s">
        <v>26</v>
      </c>
      <c r="O397" s="12" t="s">
        <v>47</v>
      </c>
      <c r="P397" s="2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0" t="s">
        <v>78</v>
      </c>
      <c r="O398" s="17" t="s">
        <v>21</v>
      </c>
      <c r="P398" s="2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440</v>
      </c>
      <c r="B399" s="9" t="s">
        <v>571</v>
      </c>
      <c r="C399" s="4" t="s">
        <v>571</v>
      </c>
      <c r="D399" s="10" t="s">
        <v>13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10" t="s">
        <v>26</v>
      </c>
      <c r="O399" s="12" t="s">
        <v>38</v>
      </c>
      <c r="P399" s="2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10" t="s">
        <v>34</v>
      </c>
      <c r="O400" s="17" t="s">
        <v>29</v>
      </c>
      <c r="P400" s="2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10" t="s">
        <v>16</v>
      </c>
      <c r="O401" s="12" t="s">
        <v>51</v>
      </c>
      <c r="P401" s="2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10" t="s">
        <v>78</v>
      </c>
      <c r="O402" s="17" t="s">
        <v>54</v>
      </c>
      <c r="P402" s="2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444</v>
      </c>
      <c r="B403" s="9" t="s">
        <v>571</v>
      </c>
      <c r="C403" s="4" t="s">
        <v>571</v>
      </c>
      <c r="D403" s="10" t="s">
        <v>18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10" t="s">
        <v>40</v>
      </c>
      <c r="O403" s="12" t="s">
        <v>67</v>
      </c>
      <c r="P403" s="2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78</v>
      </c>
      <c r="O404" s="17" t="s">
        <v>78</v>
      </c>
      <c r="P404" s="2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10" t="s">
        <v>16</v>
      </c>
      <c r="O405" s="12" t="s">
        <v>94</v>
      </c>
      <c r="P405" s="2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10" t="s">
        <v>78</v>
      </c>
      <c r="O406" s="17" t="s">
        <v>78</v>
      </c>
      <c r="P406" s="2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448</v>
      </c>
      <c r="B407" s="9" t="s">
        <v>571</v>
      </c>
      <c r="C407" s="4" t="s">
        <v>571</v>
      </c>
      <c r="D407" s="10" t="s">
        <v>24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10" t="s">
        <v>16</v>
      </c>
      <c r="O407" s="12" t="s">
        <v>51</v>
      </c>
      <c r="P407" s="2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0" t="s">
        <v>99</v>
      </c>
      <c r="O408" s="17" t="s">
        <v>99</v>
      </c>
      <c r="P408" s="2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10" t="s">
        <v>26</v>
      </c>
      <c r="O409" s="12" t="s">
        <v>26</v>
      </c>
      <c r="P409" s="2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0" t="s">
        <v>26</v>
      </c>
      <c r="O410" s="17" t="s">
        <v>26</v>
      </c>
      <c r="P410" s="2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452</v>
      </c>
      <c r="B411" s="9" t="s">
        <v>571</v>
      </c>
      <c r="C411" s="4" t="s">
        <v>571</v>
      </c>
      <c r="D411" s="10" t="s">
        <v>33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10" t="s">
        <v>16</v>
      </c>
      <c r="O411" s="12" t="s">
        <v>51</v>
      </c>
      <c r="P411" s="2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99</v>
      </c>
      <c r="O412" s="17" t="s">
        <v>64</v>
      </c>
      <c r="P412" s="2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10" t="s">
        <v>16</v>
      </c>
      <c r="O413" s="12" t="s">
        <v>51</v>
      </c>
      <c r="P413" s="2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0" t="s">
        <v>78</v>
      </c>
      <c r="O414" s="17" t="s">
        <v>54</v>
      </c>
      <c r="P414" s="2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456</v>
      </c>
      <c r="B415" s="9" t="s">
        <v>571</v>
      </c>
      <c r="C415" s="4" t="s">
        <v>571</v>
      </c>
      <c r="D415" s="10" t="s">
        <v>36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10" t="s">
        <v>26</v>
      </c>
      <c r="O415" s="12" t="s">
        <v>38</v>
      </c>
      <c r="P415" s="2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0" t="s">
        <v>26</v>
      </c>
      <c r="O416" s="17" t="s">
        <v>47</v>
      </c>
      <c r="P416" s="2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10" t="s">
        <v>40</v>
      </c>
      <c r="O417" s="12" t="s">
        <v>67</v>
      </c>
      <c r="P417" s="2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0" t="s">
        <v>16</v>
      </c>
      <c r="O418" s="17" t="s">
        <v>51</v>
      </c>
      <c r="P418" s="2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460</v>
      </c>
      <c r="B419" s="9" t="s">
        <v>571</v>
      </c>
      <c r="C419" s="4" t="s">
        <v>571</v>
      </c>
      <c r="D419" s="10" t="s">
        <v>24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10" t="s">
        <v>34</v>
      </c>
      <c r="O419" s="12" t="s">
        <v>34</v>
      </c>
      <c r="P419" s="2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0" t="s">
        <v>99</v>
      </c>
      <c r="O420" s="17" t="s">
        <v>62</v>
      </c>
      <c r="P420" s="2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10" t="s">
        <v>16</v>
      </c>
      <c r="O421" s="12" t="s">
        <v>51</v>
      </c>
      <c r="P421" s="2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99</v>
      </c>
      <c r="O422" s="17" t="s">
        <v>62</v>
      </c>
      <c r="P422" s="2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464</v>
      </c>
      <c r="B423" s="9" t="s">
        <v>571</v>
      </c>
      <c r="C423" s="4" t="s">
        <v>571</v>
      </c>
      <c r="D423" s="10" t="s">
        <v>13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10" t="s">
        <v>78</v>
      </c>
      <c r="O423" s="12" t="s">
        <v>78</v>
      </c>
      <c r="P423" s="2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0" t="s">
        <v>99</v>
      </c>
      <c r="O424" s="17" t="s">
        <v>62</v>
      </c>
      <c r="P424" s="2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2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0" t="s">
        <v>34</v>
      </c>
      <c r="O426" s="17" t="s">
        <v>34</v>
      </c>
      <c r="P426" s="2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468</v>
      </c>
      <c r="B427" s="9" t="s">
        <v>571</v>
      </c>
      <c r="C427" s="4" t="s">
        <v>571</v>
      </c>
      <c r="D427" s="10" t="s">
        <v>33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10" t="s">
        <v>99</v>
      </c>
      <c r="O427" s="12" t="s">
        <v>62</v>
      </c>
      <c r="P427" s="2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0" t="s">
        <v>78</v>
      </c>
      <c r="O428" s="17" t="s">
        <v>54</v>
      </c>
      <c r="P428" s="2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10" t="s">
        <v>78</v>
      </c>
      <c r="O429" s="12" t="s">
        <v>21</v>
      </c>
      <c r="P429" s="2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10" t="s">
        <v>78</v>
      </c>
      <c r="O430" s="17" t="s">
        <v>78</v>
      </c>
      <c r="P430" s="2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472</v>
      </c>
      <c r="B431" s="9" t="s">
        <v>571</v>
      </c>
      <c r="C431" s="4" t="s">
        <v>571</v>
      </c>
      <c r="D431" s="10" t="s">
        <v>24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10" t="s">
        <v>16</v>
      </c>
      <c r="O431" s="12" t="s">
        <v>51</v>
      </c>
      <c r="P431" s="2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10" t="s">
        <v>26</v>
      </c>
      <c r="O432" s="17" t="s">
        <v>38</v>
      </c>
      <c r="P432" s="2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10" t="s">
        <v>16</v>
      </c>
      <c r="O433" s="12" t="s">
        <v>94</v>
      </c>
      <c r="P433" s="2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10" t="s">
        <v>40</v>
      </c>
      <c r="O434" s="17" t="s">
        <v>43</v>
      </c>
      <c r="P434" s="2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476</v>
      </c>
      <c r="B435" s="9" t="s">
        <v>571</v>
      </c>
      <c r="C435" s="4" t="s">
        <v>571</v>
      </c>
      <c r="D435" s="10" t="s">
        <v>36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10" t="s">
        <v>40</v>
      </c>
      <c r="O435" s="12" t="s">
        <v>43</v>
      </c>
      <c r="P435" s="2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0" t="s">
        <v>99</v>
      </c>
      <c r="O436" s="17" t="s">
        <v>64</v>
      </c>
      <c r="P436" s="2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10" t="s">
        <v>99</v>
      </c>
      <c r="O437" s="12" t="s">
        <v>99</v>
      </c>
      <c r="P437" s="2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26</v>
      </c>
      <c r="O438" s="17" t="s">
        <v>38</v>
      </c>
      <c r="P438" s="2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480</v>
      </c>
      <c r="B439" s="9" t="s">
        <v>571</v>
      </c>
      <c r="C439" s="4" t="s">
        <v>571</v>
      </c>
      <c r="D439" s="10" t="s">
        <v>24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10" t="s">
        <v>78</v>
      </c>
      <c r="O439" s="12" t="s">
        <v>78</v>
      </c>
      <c r="P439" s="2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10" t="s">
        <v>99</v>
      </c>
      <c r="O440" s="17" t="s">
        <v>99</v>
      </c>
      <c r="P440" s="2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10" t="s">
        <v>40</v>
      </c>
      <c r="O441" s="12" t="s">
        <v>40</v>
      </c>
      <c r="P441" s="2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40</v>
      </c>
      <c r="O442" s="17" t="s">
        <v>67</v>
      </c>
      <c r="P442" s="2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484</v>
      </c>
      <c r="B443" s="9" t="s">
        <v>571</v>
      </c>
      <c r="C443" s="4" t="s">
        <v>571</v>
      </c>
      <c r="D443" s="10" t="s">
        <v>24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10" t="s">
        <v>99</v>
      </c>
      <c r="O443" s="12" t="s">
        <v>99</v>
      </c>
      <c r="P443" s="2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0" t="s">
        <v>26</v>
      </c>
      <c r="O444" s="17" t="s">
        <v>47</v>
      </c>
      <c r="P444" s="2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10" t="s">
        <v>16</v>
      </c>
      <c r="O445" s="12" t="s">
        <v>51</v>
      </c>
      <c r="P445" s="2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99</v>
      </c>
      <c r="O446" s="17" t="s">
        <v>64</v>
      </c>
      <c r="P446" s="2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488</v>
      </c>
      <c r="B447" s="9" t="s">
        <v>571</v>
      </c>
      <c r="C447" s="4" t="s">
        <v>571</v>
      </c>
      <c r="D447" s="10" t="s">
        <v>24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10" t="s">
        <v>40</v>
      </c>
      <c r="O447" s="12" t="s">
        <v>67</v>
      </c>
      <c r="P447" s="2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10" t="s">
        <v>99</v>
      </c>
      <c r="O448" s="17" t="s">
        <v>64</v>
      </c>
      <c r="P448" s="2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10" t="s">
        <v>78</v>
      </c>
      <c r="O449" s="12" t="s">
        <v>21</v>
      </c>
      <c r="P449" s="2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10" t="s">
        <v>34</v>
      </c>
      <c r="O450" s="17" t="s">
        <v>34</v>
      </c>
      <c r="P450" s="2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492</v>
      </c>
      <c r="B451" s="9" t="s">
        <v>571</v>
      </c>
      <c r="C451" s="4" t="s">
        <v>571</v>
      </c>
      <c r="D451" s="10" t="s">
        <v>24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10" t="s">
        <v>34</v>
      </c>
      <c r="O451" s="12" t="s">
        <v>29</v>
      </c>
      <c r="P451" s="2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0" t="s">
        <v>26</v>
      </c>
      <c r="O452" s="17" t="s">
        <v>47</v>
      </c>
      <c r="P452" s="2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10" t="s">
        <v>99</v>
      </c>
      <c r="O453" s="12" t="s">
        <v>62</v>
      </c>
      <c r="P453" s="2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10" t="s">
        <v>16</v>
      </c>
      <c r="O454" s="17" t="s">
        <v>94</v>
      </c>
      <c r="P454" s="2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496</v>
      </c>
      <c r="B455" s="9" t="s">
        <v>571</v>
      </c>
      <c r="C455" s="4" t="s">
        <v>571</v>
      </c>
      <c r="D455" s="10" t="s">
        <v>33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10" t="s">
        <v>16</v>
      </c>
      <c r="O455" s="12" t="s">
        <v>51</v>
      </c>
      <c r="P455" s="2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0" t="s">
        <v>40</v>
      </c>
      <c r="O456" s="17" t="s">
        <v>40</v>
      </c>
      <c r="P456" s="2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10" t="s">
        <v>34</v>
      </c>
      <c r="O457" s="12" t="s">
        <v>34</v>
      </c>
      <c r="P457" s="2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0" t="s">
        <v>99</v>
      </c>
      <c r="O458" s="17" t="s">
        <v>99</v>
      </c>
      <c r="P458" s="2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500</v>
      </c>
      <c r="B459" s="9" t="s">
        <v>571</v>
      </c>
      <c r="C459" s="4" t="s">
        <v>571</v>
      </c>
      <c r="D459" s="10" t="s">
        <v>13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10" t="s">
        <v>16</v>
      </c>
      <c r="O459" s="12" t="s">
        <v>16</v>
      </c>
      <c r="P459" s="2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10" t="s">
        <v>78</v>
      </c>
      <c r="O460" s="17" t="s">
        <v>54</v>
      </c>
      <c r="P460" s="2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10" t="s">
        <v>99</v>
      </c>
      <c r="O461" s="12" t="s">
        <v>64</v>
      </c>
      <c r="P461" s="2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10" t="s">
        <v>16</v>
      </c>
      <c r="O462" s="17" t="s">
        <v>51</v>
      </c>
      <c r="P462" s="2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504</v>
      </c>
      <c r="B463" s="9" t="s">
        <v>571</v>
      </c>
      <c r="C463" s="4" t="s">
        <v>571</v>
      </c>
      <c r="D463" s="10" t="s">
        <v>24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10" t="s">
        <v>40</v>
      </c>
      <c r="O463" s="12" t="s">
        <v>67</v>
      </c>
      <c r="P463" s="2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51</v>
      </c>
      <c r="P464" s="2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10" t="s">
        <v>26</v>
      </c>
      <c r="O465" s="12" t="s">
        <v>26</v>
      </c>
      <c r="P465" s="2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10" t="s">
        <v>99</v>
      </c>
      <c r="O466" s="17" t="s">
        <v>99</v>
      </c>
      <c r="P466" s="2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508</v>
      </c>
      <c r="B467" s="9" t="s">
        <v>571</v>
      </c>
      <c r="C467" s="4" t="s">
        <v>571</v>
      </c>
      <c r="D467" s="10" t="s">
        <v>18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10" t="s">
        <v>78</v>
      </c>
      <c r="O467" s="12" t="s">
        <v>54</v>
      </c>
      <c r="P467" s="2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0" t="s">
        <v>99</v>
      </c>
      <c r="O468" s="17" t="s">
        <v>64</v>
      </c>
      <c r="P468" s="2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10" t="s">
        <v>78</v>
      </c>
      <c r="O469" s="12" t="s">
        <v>54</v>
      </c>
      <c r="P469" s="2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0" t="s">
        <v>40</v>
      </c>
      <c r="O470" s="17" t="s">
        <v>43</v>
      </c>
      <c r="P470" s="2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512</v>
      </c>
      <c r="B471" s="9" t="s">
        <v>571</v>
      </c>
      <c r="C471" s="4" t="s">
        <v>571</v>
      </c>
      <c r="D471" s="10" t="s">
        <v>33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10" t="s">
        <v>26</v>
      </c>
      <c r="O471" s="12" t="s">
        <v>26</v>
      </c>
      <c r="P471" s="2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10" t="s">
        <v>99</v>
      </c>
      <c r="O472" s="17" t="s">
        <v>99</v>
      </c>
      <c r="P472" s="2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10" t="s">
        <v>40</v>
      </c>
      <c r="O473" s="12" t="s">
        <v>40</v>
      </c>
      <c r="P473" s="2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0" t="s">
        <v>78</v>
      </c>
      <c r="O474" s="17" t="s">
        <v>54</v>
      </c>
      <c r="P474" s="2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516</v>
      </c>
      <c r="B475" s="9" t="s">
        <v>571</v>
      </c>
      <c r="C475" s="4" t="s">
        <v>571</v>
      </c>
      <c r="D475" s="10" t="s">
        <v>24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10" t="s">
        <v>34</v>
      </c>
      <c r="O475" s="12" t="s">
        <v>57</v>
      </c>
      <c r="P475" s="2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0" t="s">
        <v>16</v>
      </c>
      <c r="O476" s="17" t="s">
        <v>16</v>
      </c>
      <c r="P476" s="2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10" t="s">
        <v>99</v>
      </c>
      <c r="O477" s="12" t="s">
        <v>64</v>
      </c>
      <c r="P477" s="2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10" t="s">
        <v>26</v>
      </c>
      <c r="O478" s="17" t="s">
        <v>26</v>
      </c>
      <c r="P478" s="2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520</v>
      </c>
      <c r="B479" s="9" t="s">
        <v>571</v>
      </c>
      <c r="C479" s="4" t="s">
        <v>571</v>
      </c>
      <c r="D479" s="10" t="s">
        <v>33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10" t="s">
        <v>40</v>
      </c>
      <c r="O479" s="12" t="s">
        <v>43</v>
      </c>
      <c r="P479" s="2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10" t="s">
        <v>40</v>
      </c>
      <c r="O480" s="17" t="s">
        <v>67</v>
      </c>
      <c r="P480" s="2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10" t="s">
        <v>99</v>
      </c>
      <c r="O481" s="12" t="s">
        <v>99</v>
      </c>
      <c r="P481" s="2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10" t="s">
        <v>99</v>
      </c>
      <c r="O482" s="17" t="s">
        <v>62</v>
      </c>
      <c r="P482" s="2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524</v>
      </c>
      <c r="B483" s="9" t="s">
        <v>571</v>
      </c>
      <c r="C483" s="4" t="s">
        <v>571</v>
      </c>
      <c r="D483" s="10" t="s">
        <v>24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10" t="s">
        <v>34</v>
      </c>
      <c r="O483" s="12" t="s">
        <v>57</v>
      </c>
      <c r="P483" s="2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0" t="s">
        <v>99</v>
      </c>
      <c r="O484" s="17" t="s">
        <v>64</v>
      </c>
      <c r="P484" s="2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10" t="s">
        <v>16</v>
      </c>
      <c r="O485" s="12" t="s">
        <v>94</v>
      </c>
      <c r="P485" s="2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10" t="s">
        <v>99</v>
      </c>
      <c r="O486" s="17" t="s">
        <v>62</v>
      </c>
      <c r="P486" s="2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528</v>
      </c>
      <c r="B487" s="9" t="s">
        <v>571</v>
      </c>
      <c r="C487" s="4" t="s">
        <v>571</v>
      </c>
      <c r="D487" s="10" t="s">
        <v>36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10" t="s">
        <v>99</v>
      </c>
      <c r="O487" s="12" t="s">
        <v>99</v>
      </c>
      <c r="P487" s="2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10" t="s">
        <v>26</v>
      </c>
      <c r="O488" s="17" t="s">
        <v>26</v>
      </c>
      <c r="P488" s="2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10" t="s">
        <v>34</v>
      </c>
      <c r="O489" s="12" t="s">
        <v>29</v>
      </c>
      <c r="P489" s="2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10" t="s">
        <v>26</v>
      </c>
      <c r="O490" s="17" t="s">
        <v>47</v>
      </c>
      <c r="P490" s="2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532</v>
      </c>
      <c r="B491" s="9" t="s">
        <v>571</v>
      </c>
      <c r="C491" s="4" t="s">
        <v>571</v>
      </c>
      <c r="D491" s="10" t="s">
        <v>24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10" t="s">
        <v>78</v>
      </c>
      <c r="O491" s="12" t="s">
        <v>78</v>
      </c>
      <c r="P491" s="2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0" t="s">
        <v>34</v>
      </c>
      <c r="O492" s="17" t="s">
        <v>29</v>
      </c>
      <c r="P492" s="2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10" t="s">
        <v>40</v>
      </c>
      <c r="O493" s="12" t="s">
        <v>43</v>
      </c>
      <c r="P493" s="2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0" t="s">
        <v>26</v>
      </c>
      <c r="O494" s="17" t="s">
        <v>47</v>
      </c>
      <c r="P494" s="2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536</v>
      </c>
      <c r="B495" s="9" t="s">
        <v>571</v>
      </c>
      <c r="C495" s="4" t="s">
        <v>571</v>
      </c>
      <c r="D495" s="10" t="s">
        <v>36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10" t="s">
        <v>16</v>
      </c>
      <c r="O495" s="12" t="s">
        <v>16</v>
      </c>
      <c r="P495" s="2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10" t="s">
        <v>78</v>
      </c>
      <c r="O496" s="17" t="s">
        <v>21</v>
      </c>
      <c r="P496" s="2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78</v>
      </c>
      <c r="O497" s="12" t="s">
        <v>21</v>
      </c>
      <c r="P497" s="2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10" t="s">
        <v>16</v>
      </c>
      <c r="O498" s="17" t="s">
        <v>94</v>
      </c>
      <c r="P498" s="2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540</v>
      </c>
      <c r="B499" s="9" t="s">
        <v>571</v>
      </c>
      <c r="C499" s="4" t="s">
        <v>571</v>
      </c>
      <c r="D499" s="10" t="s">
        <v>33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94</v>
      </c>
      <c r="P499" s="2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5" t="s">
        <v>684</v>
      </c>
      <c r="C503" s="1">
        <f>SUM(Sales)</f>
        <v>1322669.1900000023</v>
      </c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5" t="s">
        <v>685</v>
      </c>
      <c r="C504" s="1" cm="1">
        <f t="array" ref="C504">SUBTOTAL(9,Sales)</f>
        <v>1322669.1900000023</v>
      </c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9" type="noConversion"/>
  <conditionalFormatting sqref="E1:F1048576">
    <cfRule type="top10" dxfId="4" priority="5" bottom="1" rank="10"/>
    <cfRule type="top10" dxfId="3" priority="6" rank="10"/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dataValidations count="1">
    <dataValidation type="list" allowBlank="1" showInputMessage="1" showErrorMessage="1" sqref="R50" xr:uid="{7D061CD3-32D3-4A49-A982-879635F5FEBC}">
      <formula1>$A$2:$A$499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80EDA-8FF2-48C2-BF4C-4E03317F8CE3}">
  <dimension ref="B1:H10"/>
  <sheetViews>
    <sheetView workbookViewId="0">
      <selection activeCell="H2" sqref="H2"/>
    </sheetView>
  </sheetViews>
  <sheetFormatPr defaultRowHeight="14.4" x14ac:dyDescent="0.3"/>
  <cols>
    <col min="2" max="2" width="12.88671875" customWidth="1"/>
    <col min="3" max="3" width="14" customWidth="1"/>
    <col min="4" max="4" width="11.77734375" customWidth="1"/>
    <col min="7" max="7" width="21.5546875" bestFit="1" customWidth="1"/>
  </cols>
  <sheetData>
    <row r="1" spans="2:8" ht="15" thickBot="1" x14ac:dyDescent="0.35"/>
    <row r="2" spans="2:8" ht="21" thickBot="1" x14ac:dyDescent="0.35">
      <c r="B2" s="46" t="s">
        <v>1</v>
      </c>
      <c r="C2" s="46" t="s">
        <v>633</v>
      </c>
      <c r="D2" s="46" t="s">
        <v>572</v>
      </c>
    </row>
    <row r="3" spans="2:8" ht="15" x14ac:dyDescent="0.3">
      <c r="B3" s="47" t="s">
        <v>634</v>
      </c>
      <c r="C3" s="47" t="s">
        <v>635</v>
      </c>
      <c r="D3" s="48">
        <v>2300</v>
      </c>
      <c r="G3" s="49" t="s">
        <v>642</v>
      </c>
      <c r="H3">
        <f>SUMIF(B3:B10,"Fruits",D3:D10)</f>
        <v>2000</v>
      </c>
    </row>
    <row r="4" spans="2:8" ht="15" x14ac:dyDescent="0.3">
      <c r="B4" s="47" t="s">
        <v>634</v>
      </c>
      <c r="C4" s="47" t="s">
        <v>636</v>
      </c>
      <c r="D4" s="48">
        <v>5500</v>
      </c>
      <c r="G4" s="49" t="s">
        <v>643</v>
      </c>
      <c r="H4">
        <f>SUMIF(B3:B10,"Vegetables",D3:D10)</f>
        <v>12000</v>
      </c>
    </row>
    <row r="5" spans="2:8" ht="15" x14ac:dyDescent="0.3">
      <c r="B5" s="47" t="s">
        <v>637</v>
      </c>
      <c r="C5" s="47" t="s">
        <v>638</v>
      </c>
      <c r="D5" s="48">
        <v>800</v>
      </c>
      <c r="G5" s="49" t="s">
        <v>644</v>
      </c>
      <c r="H5">
        <f>SUMIF(B3:B10,"",D3:D10)</f>
        <v>1900</v>
      </c>
    </row>
    <row r="6" spans="2:8" ht="15" x14ac:dyDescent="0.3">
      <c r="B6" s="47"/>
      <c r="C6" s="47" t="s">
        <v>639</v>
      </c>
      <c r="D6" s="48">
        <v>400</v>
      </c>
    </row>
    <row r="7" spans="2:8" ht="15" x14ac:dyDescent="0.3">
      <c r="B7" s="47" t="s">
        <v>634</v>
      </c>
      <c r="C7" s="47" t="s">
        <v>640</v>
      </c>
      <c r="D7" s="48">
        <v>4200</v>
      </c>
    </row>
    <row r="8" spans="2:8" ht="15" x14ac:dyDescent="0.3">
      <c r="B8" s="47"/>
      <c r="C8" s="47" t="s">
        <v>645</v>
      </c>
      <c r="D8" s="48">
        <v>1000</v>
      </c>
    </row>
    <row r="9" spans="2:8" ht="15" x14ac:dyDescent="0.3">
      <c r="B9" s="47"/>
      <c r="C9" s="47" t="s">
        <v>646</v>
      </c>
      <c r="D9" s="48">
        <v>500</v>
      </c>
    </row>
    <row r="10" spans="2:8" ht="15" x14ac:dyDescent="0.3">
      <c r="B10" s="47" t="s">
        <v>637</v>
      </c>
      <c r="C10" s="47" t="s">
        <v>641</v>
      </c>
      <c r="D10" s="48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topLeftCell="A2" zoomScale="179" workbookViewId="0">
      <selection activeCell="D15" sqref="D15"/>
    </sheetView>
  </sheetViews>
  <sheetFormatPr defaultRowHeight="14.4" x14ac:dyDescent="0.3"/>
  <cols>
    <col min="1" max="1" width="9.77734375" bestFit="1" customWidth="1"/>
    <col min="2" max="2" width="10.109375" bestFit="1" customWidth="1"/>
    <col min="3" max="3" width="13.6640625" bestFit="1" customWidth="1"/>
    <col min="4" max="4" width="23" bestFit="1" customWidth="1"/>
    <col min="6" max="6" width="14.21875" bestFit="1" customWidth="1"/>
    <col min="7" max="7" width="11.44140625" bestFit="1" customWidth="1"/>
  </cols>
  <sheetData>
    <row r="1" spans="1:7" x14ac:dyDescent="0.3">
      <c r="A1" t="s">
        <v>543</v>
      </c>
      <c r="B1" t="s">
        <v>544</v>
      </c>
      <c r="C1" t="s">
        <v>545</v>
      </c>
      <c r="D1" t="s">
        <v>558</v>
      </c>
      <c r="E1" t="s">
        <v>562</v>
      </c>
      <c r="F1" t="s">
        <v>568</v>
      </c>
      <c r="G1" t="s">
        <v>569</v>
      </c>
    </row>
    <row r="2" spans="1:7" x14ac:dyDescent="0.3">
      <c r="A2" t="s">
        <v>546</v>
      </c>
      <c r="B2" t="s">
        <v>547</v>
      </c>
      <c r="C2" t="s">
        <v>554</v>
      </c>
      <c r="D2" s="24" t="s">
        <v>564</v>
      </c>
      <c r="E2" t="s">
        <v>565</v>
      </c>
      <c r="F2">
        <v>91</v>
      </c>
      <c r="G2">
        <v>8967598967</v>
      </c>
    </row>
    <row r="3" spans="1:7" x14ac:dyDescent="0.3">
      <c r="A3" t="s">
        <v>548</v>
      </c>
      <c r="B3" t="s">
        <v>549</v>
      </c>
      <c r="C3" t="s">
        <v>555</v>
      </c>
      <c r="D3" s="24" t="s">
        <v>559</v>
      </c>
      <c r="E3" t="s">
        <v>566</v>
      </c>
      <c r="F3">
        <v>91</v>
      </c>
      <c r="G3">
        <v>9878586967</v>
      </c>
    </row>
    <row r="4" spans="1:7" x14ac:dyDescent="0.3">
      <c r="A4" t="s">
        <v>550</v>
      </c>
      <c r="B4" t="s">
        <v>551</v>
      </c>
      <c r="C4" t="s">
        <v>556</v>
      </c>
      <c r="D4" s="24" t="s">
        <v>560</v>
      </c>
      <c r="E4" t="s">
        <v>563</v>
      </c>
      <c r="F4">
        <v>91</v>
      </c>
      <c r="G4">
        <v>9089788767</v>
      </c>
    </row>
    <row r="5" spans="1:7" x14ac:dyDescent="0.3">
      <c r="A5" t="s">
        <v>552</v>
      </c>
      <c r="B5" t="s">
        <v>553</v>
      </c>
      <c r="C5" t="s">
        <v>557</v>
      </c>
      <c r="D5" s="24" t="s">
        <v>561</v>
      </c>
      <c r="E5" t="s">
        <v>567</v>
      </c>
      <c r="F5">
        <v>91</v>
      </c>
      <c r="G5">
        <v>8978877890</v>
      </c>
    </row>
  </sheetData>
  <hyperlinks>
    <hyperlink ref="D2" r:id="rId1" xr:uid="{251C1345-C753-4A5E-9CF9-4EE057952DBE}"/>
    <hyperlink ref="D3" r:id="rId2" xr:uid="{DB2D2C3F-B4AC-4B0D-9427-A4D019201EB2}"/>
    <hyperlink ref="D4" r:id="rId3" xr:uid="{0C22EFD7-CA78-42BB-9118-E3DC647F9DFC}"/>
    <hyperlink ref="D5" r:id="rId4" xr:uid="{F432DDC1-1E5C-44B2-82FF-8526B4B77EC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P14"/>
  <sheetViews>
    <sheetView zoomScaleNormal="100" workbookViewId="0">
      <selection activeCell="G1" sqref="G1:H4"/>
    </sheetView>
  </sheetViews>
  <sheetFormatPr defaultRowHeight="14.4" x14ac:dyDescent="0.3"/>
  <cols>
    <col min="1" max="1" width="14.44140625" bestFit="1" customWidth="1"/>
    <col min="2" max="2" width="14.109375" bestFit="1" customWidth="1"/>
    <col min="3" max="3" width="10" bestFit="1" customWidth="1"/>
    <col min="4" max="4" width="6" bestFit="1" customWidth="1"/>
    <col min="5" max="5" width="14.5546875" bestFit="1" customWidth="1"/>
    <col min="10" max="10" width="12.5546875" bestFit="1" customWidth="1"/>
    <col min="11" max="11" width="6.109375" bestFit="1" customWidth="1"/>
  </cols>
  <sheetData>
    <row r="1" spans="1:16" x14ac:dyDescent="0.3">
      <c r="A1" s="27" t="s">
        <v>577</v>
      </c>
      <c r="C1" s="28" t="s">
        <v>578</v>
      </c>
      <c r="D1" s="28" t="s">
        <v>572</v>
      </c>
      <c r="E1" s="28" t="s">
        <v>591</v>
      </c>
      <c r="G1" s="28" t="s">
        <v>593</v>
      </c>
      <c r="H1" s="28" t="s">
        <v>594</v>
      </c>
      <c r="I1" s="28" t="s">
        <v>595</v>
      </c>
      <c r="J1" s="28" t="s">
        <v>596</v>
      </c>
      <c r="K1" s="28" t="s">
        <v>597</v>
      </c>
      <c r="L1" s="28"/>
      <c r="O1" s="29" t="s">
        <v>578</v>
      </c>
      <c r="P1" s="29" t="s">
        <v>572</v>
      </c>
    </row>
    <row r="2" spans="1:16" x14ac:dyDescent="0.3">
      <c r="A2" s="26" t="s">
        <v>548</v>
      </c>
      <c r="C2" s="26" t="s">
        <v>584</v>
      </c>
      <c r="D2">
        <v>23454</v>
      </c>
      <c r="E2" t="str" cm="1">
        <f t="array" ref="E2:E8">IF(D2:D8&gt;50000,"Yes","No")</f>
        <v>No</v>
      </c>
      <c r="G2" s="26" t="s">
        <v>548</v>
      </c>
      <c r="H2">
        <v>87</v>
      </c>
      <c r="I2">
        <v>67</v>
      </c>
      <c r="J2">
        <v>56</v>
      </c>
      <c r="K2" t="str">
        <f>IF(AND(H2&gt;=75,I2&gt;=75),"A+","A")</f>
        <v>A</v>
      </c>
      <c r="O2" t="s">
        <v>584</v>
      </c>
      <c r="P2">
        <v>23454</v>
      </c>
    </row>
    <row r="3" spans="1:16" x14ac:dyDescent="0.3">
      <c r="A3" s="26" t="s">
        <v>574</v>
      </c>
      <c r="C3" s="26" t="s">
        <v>583</v>
      </c>
      <c r="D3">
        <v>56567</v>
      </c>
      <c r="E3" t="str">
        <v>Yes</v>
      </c>
      <c r="G3" s="26" t="s">
        <v>575</v>
      </c>
      <c r="H3">
        <v>98</v>
      </c>
      <c r="I3">
        <v>65</v>
      </c>
      <c r="J3">
        <v>45</v>
      </c>
      <c r="K3" t="str">
        <f t="shared" ref="K3:K4" si="0">IF(AND(H3&gt;=75,I3&gt;=75),"A+","A")</f>
        <v>A</v>
      </c>
      <c r="O3" t="s">
        <v>583</v>
      </c>
      <c r="P3">
        <v>56567</v>
      </c>
    </row>
    <row r="4" spans="1:16" x14ac:dyDescent="0.3">
      <c r="A4" s="26" t="s">
        <v>575</v>
      </c>
      <c r="C4" s="26" t="s">
        <v>579</v>
      </c>
      <c r="D4">
        <v>76856</v>
      </c>
      <c r="E4" t="str">
        <v>Yes</v>
      </c>
      <c r="G4" s="26" t="s">
        <v>598</v>
      </c>
      <c r="H4">
        <v>98</v>
      </c>
      <c r="I4">
        <v>89</v>
      </c>
      <c r="J4">
        <v>78</v>
      </c>
      <c r="K4" t="str">
        <f t="shared" si="0"/>
        <v>A+</v>
      </c>
      <c r="O4" t="s">
        <v>579</v>
      </c>
      <c r="P4">
        <v>76856</v>
      </c>
    </row>
    <row r="5" spans="1:16" x14ac:dyDescent="0.3">
      <c r="A5" s="26" t="s">
        <v>576</v>
      </c>
      <c r="C5" s="26" t="s">
        <v>580</v>
      </c>
      <c r="D5">
        <v>76756</v>
      </c>
      <c r="E5" t="str">
        <v>Yes</v>
      </c>
      <c r="O5" t="s">
        <v>580</v>
      </c>
      <c r="P5">
        <v>76756</v>
      </c>
    </row>
    <row r="6" spans="1:16" x14ac:dyDescent="0.3">
      <c r="C6" s="26" t="s">
        <v>581</v>
      </c>
      <c r="D6">
        <v>56456</v>
      </c>
      <c r="E6" t="str">
        <v>Yes</v>
      </c>
      <c r="O6" t="s">
        <v>581</v>
      </c>
      <c r="P6">
        <v>56456</v>
      </c>
    </row>
    <row r="7" spans="1:16" x14ac:dyDescent="0.3">
      <c r="C7" s="26" t="s">
        <v>586</v>
      </c>
      <c r="D7">
        <v>67645</v>
      </c>
      <c r="E7" t="str">
        <v>Yes</v>
      </c>
      <c r="H7" s="26" t="s">
        <v>599</v>
      </c>
      <c r="I7" s="26" t="s">
        <v>600</v>
      </c>
      <c r="J7" s="26" t="s">
        <v>602</v>
      </c>
      <c r="O7" t="s">
        <v>586</v>
      </c>
      <c r="P7">
        <v>67645</v>
      </c>
    </row>
    <row r="8" spans="1:16" x14ac:dyDescent="0.3">
      <c r="C8" s="26" t="s">
        <v>585</v>
      </c>
      <c r="D8">
        <v>49000</v>
      </c>
      <c r="E8" t="str">
        <v>No</v>
      </c>
      <c r="H8" s="26" t="s">
        <v>601</v>
      </c>
      <c r="O8" t="s">
        <v>585</v>
      </c>
      <c r="P8">
        <v>65589</v>
      </c>
    </row>
    <row r="10" spans="1:16" x14ac:dyDescent="0.3">
      <c r="C10" s="26" t="s">
        <v>592</v>
      </c>
      <c r="D10">
        <v>50000</v>
      </c>
    </row>
    <row r="11" spans="1:16" x14ac:dyDescent="0.3">
      <c r="G11" s="30" t="s">
        <v>593</v>
      </c>
      <c r="H11" s="30" t="s">
        <v>603</v>
      </c>
      <c r="I11" s="30" t="s">
        <v>604</v>
      </c>
      <c r="J11" s="30" t="s">
        <v>607</v>
      </c>
    </row>
    <row r="12" spans="1:16" x14ac:dyDescent="0.3">
      <c r="G12" s="26" t="s">
        <v>548</v>
      </c>
      <c r="H12" s="26" t="s">
        <v>605</v>
      </c>
      <c r="I12">
        <v>90</v>
      </c>
      <c r="J12" t="str">
        <f>IF(AND(H12="Nagpur",I12&gt;=75),"Shortlisted","NotShortlisted")</f>
        <v>Shortlisted</v>
      </c>
    </row>
    <row r="13" spans="1:16" x14ac:dyDescent="0.3">
      <c r="G13" s="26" t="s">
        <v>575</v>
      </c>
      <c r="H13" s="26" t="s">
        <v>26</v>
      </c>
      <c r="I13">
        <v>96</v>
      </c>
      <c r="J13" t="str">
        <f>IF(AND(H13="Nagpur",I13=75),"Shortlisted","NotShortlisted")</f>
        <v>NotShortlisted</v>
      </c>
    </row>
    <row r="14" spans="1:16" x14ac:dyDescent="0.3">
      <c r="G14" s="26" t="s">
        <v>598</v>
      </c>
      <c r="H14" s="26" t="s">
        <v>606</v>
      </c>
      <c r="I14">
        <v>78</v>
      </c>
    </row>
  </sheetData>
  <sortState xmlns:xlrd2="http://schemas.microsoft.com/office/spreadsheetml/2017/richdata2" ref="C2:D8">
    <sortCondition ref="C2:C8" customList="January,February,March,April,May,June,July,August,September,October,November,December"/>
  </sortState>
  <phoneticPr fontId="15" type="noConversion"/>
  <conditionalFormatting sqref="D2:D8">
    <cfRule type="cellIs" dxfId="1" priority="1" operator="lessThan">
      <formula>50000</formula>
    </cfRule>
    <cfRule type="cellIs" dxfId="0" priority="3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12"/>
  <sheetViews>
    <sheetView zoomScale="118" workbookViewId="0">
      <selection activeCell="I6" sqref="I6"/>
    </sheetView>
  </sheetViews>
  <sheetFormatPr defaultRowHeight="14.4" x14ac:dyDescent="0.3"/>
  <cols>
    <col min="1" max="1" width="11.44140625" bestFit="1" customWidth="1"/>
    <col min="2" max="2" width="10.88671875" bestFit="1" customWidth="1"/>
    <col min="4" max="4" width="11.6640625" customWidth="1"/>
    <col min="5" max="5" width="11" customWidth="1"/>
    <col min="8" max="8" width="26.77734375" bestFit="1" customWidth="1"/>
  </cols>
  <sheetData>
    <row r="1" spans="1:9" x14ac:dyDescent="0.3">
      <c r="A1" s="26" t="s">
        <v>584</v>
      </c>
    </row>
    <row r="2" spans="1:9" x14ac:dyDescent="0.3">
      <c r="A2" s="26" t="s">
        <v>583</v>
      </c>
    </row>
    <row r="3" spans="1:9" x14ac:dyDescent="0.3">
      <c r="A3" s="26" t="s">
        <v>579</v>
      </c>
    </row>
    <row r="4" spans="1:9" x14ac:dyDescent="0.3">
      <c r="A4" s="26" t="s">
        <v>580</v>
      </c>
    </row>
    <row r="5" spans="1:9" x14ac:dyDescent="0.3">
      <c r="A5" s="26" t="s">
        <v>581</v>
      </c>
      <c r="D5" s="34" t="s">
        <v>673</v>
      </c>
      <c r="E5" s="33" t="s">
        <v>573</v>
      </c>
      <c r="F5" s="60" t="s">
        <v>677</v>
      </c>
    </row>
    <row r="6" spans="1:9" x14ac:dyDescent="0.3">
      <c r="A6" s="26" t="s">
        <v>582</v>
      </c>
      <c r="C6" s="26"/>
      <c r="D6" s="34" t="s">
        <v>674</v>
      </c>
      <c r="E6" s="59" t="s">
        <v>548</v>
      </c>
      <c r="F6">
        <v>1001</v>
      </c>
      <c r="H6" t="s">
        <v>678</v>
      </c>
      <c r="I6">
        <f>COUNTIF(F6:F10,F7)</f>
        <v>2</v>
      </c>
    </row>
    <row r="7" spans="1:9" x14ac:dyDescent="0.3">
      <c r="A7" s="26" t="s">
        <v>586</v>
      </c>
      <c r="D7" s="34" t="s">
        <v>675</v>
      </c>
      <c r="E7" s="33" t="s">
        <v>574</v>
      </c>
      <c r="F7">
        <v>1002</v>
      </c>
      <c r="H7" t="s">
        <v>678</v>
      </c>
      <c r="I7">
        <f>COUNTIF(E6:E10,"Suhas")</f>
        <v>2</v>
      </c>
    </row>
    <row r="8" spans="1:9" x14ac:dyDescent="0.3">
      <c r="A8" s="26" t="s">
        <v>587</v>
      </c>
      <c r="D8" s="34" t="s">
        <v>676</v>
      </c>
      <c r="E8" s="33" t="s">
        <v>575</v>
      </c>
      <c r="F8">
        <v>1003</v>
      </c>
    </row>
    <row r="9" spans="1:9" x14ac:dyDescent="0.3">
      <c r="A9" s="26" t="s">
        <v>585</v>
      </c>
      <c r="D9" s="34" t="s">
        <v>572</v>
      </c>
      <c r="E9" s="33" t="s">
        <v>576</v>
      </c>
      <c r="F9">
        <v>1001</v>
      </c>
    </row>
    <row r="10" spans="1:9" x14ac:dyDescent="0.3">
      <c r="A10" s="26" t="s">
        <v>588</v>
      </c>
      <c r="D10" s="34" t="s">
        <v>674</v>
      </c>
      <c r="E10" s="58" t="s">
        <v>548</v>
      </c>
      <c r="F10">
        <v>1002</v>
      </c>
    </row>
    <row r="11" spans="1:9" x14ac:dyDescent="0.3">
      <c r="A11" s="26" t="s">
        <v>589</v>
      </c>
    </row>
    <row r="12" spans="1:9" x14ac:dyDescent="0.3">
      <c r="A12" s="26" t="s">
        <v>590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E088A-D95A-4C0D-9843-00AD75E4B63B}">
  <dimension ref="B3:H38"/>
  <sheetViews>
    <sheetView zoomScale="109" workbookViewId="0">
      <selection activeCell="D15" sqref="B12:E17"/>
    </sheetView>
  </sheetViews>
  <sheetFormatPr defaultRowHeight="14.4" x14ac:dyDescent="0.3"/>
  <cols>
    <col min="4" max="4" width="20.44140625" bestFit="1" customWidth="1"/>
    <col min="5" max="5" width="15.6640625" customWidth="1"/>
    <col min="6" max="6" width="9.88671875" customWidth="1"/>
    <col min="7" max="7" width="13.44140625" bestFit="1" customWidth="1"/>
    <col min="10" max="10" width="11.44140625" bestFit="1" customWidth="1"/>
  </cols>
  <sheetData>
    <row r="3" spans="2:8" x14ac:dyDescent="0.3">
      <c r="B3" s="32" t="s">
        <v>593</v>
      </c>
      <c r="C3" s="32" t="s">
        <v>604</v>
      </c>
      <c r="D3" s="32" t="s">
        <v>597</v>
      </c>
      <c r="F3" s="37" t="s">
        <v>608</v>
      </c>
      <c r="G3" s="38" t="s">
        <v>611</v>
      </c>
    </row>
    <row r="4" spans="2:8" x14ac:dyDescent="0.3">
      <c r="B4" s="33" t="s">
        <v>548</v>
      </c>
      <c r="C4" s="34">
        <v>90</v>
      </c>
      <c r="D4" s="34" t="str">
        <f>IF(C4&gt;=90,"A++",IF(C4&gt;=75,"A+",IF(C4&gt;=60,"A",IF(C4&gt;40,"B","Fail"))))</f>
        <v>A++</v>
      </c>
      <c r="F4" s="39" t="s">
        <v>609</v>
      </c>
      <c r="G4" s="40" t="s">
        <v>599</v>
      </c>
    </row>
    <row r="5" spans="2:8" x14ac:dyDescent="0.3">
      <c r="B5" s="33" t="s">
        <v>575</v>
      </c>
      <c r="C5" s="34">
        <v>36</v>
      </c>
      <c r="D5" s="34" t="str">
        <f>IF(C5&gt;=90,"A++",IF(C5&gt;=75,"A+",IF(C5&gt;=60,"A",IF(C5&gt;40,"B","Fail"))))</f>
        <v>Fail</v>
      </c>
      <c r="F5" s="39" t="s">
        <v>610</v>
      </c>
      <c r="G5" s="40" t="s">
        <v>612</v>
      </c>
    </row>
    <row r="6" spans="2:8" x14ac:dyDescent="0.3">
      <c r="B6" s="33" t="s">
        <v>598</v>
      </c>
      <c r="C6" s="34">
        <v>88</v>
      </c>
      <c r="D6" s="34" t="str">
        <f t="shared" ref="D6:D8" si="0">IF(C6&gt;=90,"A++",IF(C6&gt;=75,"A+",IF(C6&gt;=60,"A",IF(C6&gt;40,"B","Fail"))))</f>
        <v>A+</v>
      </c>
      <c r="F6" s="39" t="s">
        <v>613</v>
      </c>
      <c r="G6" s="40" t="s">
        <v>601</v>
      </c>
    </row>
    <row r="7" spans="2:8" x14ac:dyDescent="0.3">
      <c r="B7" s="35" t="s">
        <v>546</v>
      </c>
      <c r="C7" s="34">
        <v>50</v>
      </c>
      <c r="D7" s="34" t="str">
        <f t="shared" si="0"/>
        <v>B</v>
      </c>
      <c r="F7" s="41" t="s">
        <v>614</v>
      </c>
      <c r="G7" s="42" t="s">
        <v>615</v>
      </c>
    </row>
    <row r="8" spans="2:8" x14ac:dyDescent="0.3">
      <c r="B8" s="35" t="s">
        <v>616</v>
      </c>
      <c r="C8" s="34">
        <v>62</v>
      </c>
      <c r="D8" s="34" t="str">
        <f t="shared" si="0"/>
        <v>A</v>
      </c>
    </row>
    <row r="12" spans="2:8" x14ac:dyDescent="0.3">
      <c r="B12" s="32" t="s">
        <v>593</v>
      </c>
      <c r="C12" s="32" t="s">
        <v>572</v>
      </c>
      <c r="D12" s="32" t="s">
        <v>617</v>
      </c>
      <c r="E12" s="32" t="s">
        <v>620</v>
      </c>
      <c r="G12" s="37" t="s">
        <v>621</v>
      </c>
      <c r="H12" s="38" t="s">
        <v>617</v>
      </c>
    </row>
    <row r="13" spans="2:8" x14ac:dyDescent="0.3">
      <c r="B13" s="33" t="s">
        <v>548</v>
      </c>
      <c r="C13" s="34">
        <v>70000</v>
      </c>
      <c r="D13" s="36">
        <f>IF(C13&gt;=$G$13,15%,IF(C13&gt;=$G$14,10%,IF(C13&gt;=$G$15,5%,0%)))</f>
        <v>0.1</v>
      </c>
      <c r="E13" s="34">
        <f>C13*D13</f>
        <v>7000</v>
      </c>
      <c r="G13" s="39">
        <v>75000</v>
      </c>
      <c r="H13" s="40">
        <v>15</v>
      </c>
    </row>
    <row r="14" spans="2:8" x14ac:dyDescent="0.3">
      <c r="B14" s="33" t="s">
        <v>575</v>
      </c>
      <c r="C14" s="34">
        <v>50000</v>
      </c>
      <c r="D14" s="36">
        <f>IF(C14&gt;=$G$13,15%,IF(C14&gt;=$G$14,10%,IF(C14&gt;=$G$15,5%,0%)))</f>
        <v>0.05</v>
      </c>
      <c r="E14" s="34">
        <f>C14*D14</f>
        <v>2500</v>
      </c>
      <c r="G14" s="39">
        <v>70000</v>
      </c>
      <c r="H14" s="40">
        <v>10</v>
      </c>
    </row>
    <row r="15" spans="2:8" x14ac:dyDescent="0.3">
      <c r="B15" s="33" t="s">
        <v>598</v>
      </c>
      <c r="C15" s="34">
        <v>45000</v>
      </c>
      <c r="D15" s="36">
        <f>IF(C15&gt;=$G$13,15%,IF(C15&gt;=$G$14,10%,IF(C15&gt;=$G$15,5%,0%)))</f>
        <v>0</v>
      </c>
      <c r="E15" s="34">
        <f>C15*D15</f>
        <v>0</v>
      </c>
      <c r="G15" s="39">
        <v>50000</v>
      </c>
      <c r="H15" s="40">
        <v>5</v>
      </c>
    </row>
    <row r="16" spans="2:8" x14ac:dyDescent="0.3">
      <c r="B16" s="35" t="s">
        <v>546</v>
      </c>
      <c r="C16" s="34">
        <v>75000</v>
      </c>
      <c r="D16" s="36">
        <f>IF(C16&gt;=$G$13,15%,IF(C16&gt;=$G$14,10%,IF(C16&gt;=$G$15,5%,0%)))</f>
        <v>0.15</v>
      </c>
      <c r="E16" s="34">
        <f>C16*D16</f>
        <v>11250</v>
      </c>
      <c r="G16" s="41" t="s">
        <v>618</v>
      </c>
      <c r="H16" s="42" t="s">
        <v>619</v>
      </c>
    </row>
    <row r="17" spans="2:5" x14ac:dyDescent="0.3">
      <c r="B17" s="35" t="s">
        <v>616</v>
      </c>
      <c r="C17" s="34">
        <v>55000</v>
      </c>
      <c r="D17" s="36">
        <f>IF(C17&gt;=$G$13,15%,IF(C17&gt;=$G$14,10%,IF(C17&gt;=$G$15,5%,0%)))</f>
        <v>0.05</v>
      </c>
      <c r="E17" s="34">
        <f>C17*D17</f>
        <v>2750</v>
      </c>
    </row>
    <row r="19" spans="2:5" x14ac:dyDescent="0.3">
      <c r="D19" s="27" t="s">
        <v>629</v>
      </c>
      <c r="E19">
        <f>SUMIF(C13:C17,"&gt;50000",C13:C17)</f>
        <v>200000</v>
      </c>
    </row>
    <row r="34" spans="4:6" x14ac:dyDescent="0.3">
      <c r="D34" s="31" t="s">
        <v>622</v>
      </c>
      <c r="E34" s="31" t="s">
        <v>623</v>
      </c>
      <c r="F34" s="31" t="s">
        <v>624</v>
      </c>
    </row>
    <row r="35" spans="4:6" x14ac:dyDescent="0.3">
      <c r="D35">
        <v>27</v>
      </c>
      <c r="E35">
        <v>7</v>
      </c>
      <c r="F35">
        <f>IFERROR(D35/E35,"Division By Zero")</f>
        <v>3.8571428571428572</v>
      </c>
    </row>
    <row r="36" spans="4:6" x14ac:dyDescent="0.3">
      <c r="D36">
        <v>65</v>
      </c>
      <c r="E36">
        <v>4</v>
      </c>
      <c r="F36">
        <f t="shared" ref="F36:F37" si="1">IFERROR(D36/E36,"Division By Zero")</f>
        <v>16.25</v>
      </c>
    </row>
    <row r="37" spans="4:6" x14ac:dyDescent="0.3">
      <c r="D37">
        <v>56</v>
      </c>
      <c r="E37">
        <v>8</v>
      </c>
      <c r="F37">
        <f t="shared" si="1"/>
        <v>7</v>
      </c>
    </row>
    <row r="38" spans="4:6" x14ac:dyDescent="0.3">
      <c r="D38">
        <v>43</v>
      </c>
      <c r="E38">
        <v>0</v>
      </c>
      <c r="F38" t="str">
        <f>IFERROR(D38/E38,"Can not Division By 0")</f>
        <v>Can not Division By 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87B3-0129-4C63-A08A-77F360FD7DD5}">
  <dimension ref="B1:J11"/>
  <sheetViews>
    <sheetView workbookViewId="0">
      <selection activeCell="K20" sqref="K20"/>
    </sheetView>
  </sheetViews>
  <sheetFormatPr defaultRowHeight="14.4" x14ac:dyDescent="0.3"/>
  <cols>
    <col min="1" max="1" width="10.5546875" bestFit="1" customWidth="1"/>
    <col min="9" max="9" width="20.5546875" bestFit="1" customWidth="1"/>
  </cols>
  <sheetData>
    <row r="1" spans="2:10" ht="15" thickBot="1" x14ac:dyDescent="0.35"/>
    <row r="2" spans="2:10" ht="17.399999999999999" thickBot="1" x14ac:dyDescent="0.35">
      <c r="B2" s="62" t="s">
        <v>679</v>
      </c>
    </row>
    <row r="3" spans="2:10" ht="16.8" x14ac:dyDescent="0.3">
      <c r="B3" s="63">
        <v>120</v>
      </c>
      <c r="E3" s="60" t="s">
        <v>681</v>
      </c>
      <c r="I3" s="60" t="s">
        <v>683</v>
      </c>
    </row>
    <row r="4" spans="2:10" ht="16.8" x14ac:dyDescent="0.3">
      <c r="B4" s="63">
        <v>10</v>
      </c>
    </row>
    <row r="5" spans="2:10" ht="16.8" x14ac:dyDescent="0.3">
      <c r="B5" s="63">
        <v>150</v>
      </c>
      <c r="D5" s="60" t="s">
        <v>680</v>
      </c>
      <c r="E5">
        <f>SUBTOTAL(9,B3:B9)</f>
        <v>469</v>
      </c>
      <c r="I5" s="60" t="s">
        <v>682</v>
      </c>
      <c r="J5">
        <f>SUBTOTAL(109,B3:B9)</f>
        <v>469</v>
      </c>
    </row>
    <row r="6" spans="2:10" ht="16.8" x14ac:dyDescent="0.3">
      <c r="B6" s="63">
        <v>56</v>
      </c>
    </row>
    <row r="7" spans="2:10" ht="16.8" x14ac:dyDescent="0.3">
      <c r="B7" s="63">
        <v>34</v>
      </c>
    </row>
    <row r="8" spans="2:10" ht="16.8" x14ac:dyDescent="0.3">
      <c r="B8" s="63">
        <v>76</v>
      </c>
      <c r="C8" s="63"/>
      <c r="D8" s="47"/>
    </row>
    <row r="9" spans="2:10" ht="16.8" x14ac:dyDescent="0.3">
      <c r="B9" s="63">
        <v>23</v>
      </c>
      <c r="C9" s="64"/>
      <c r="D9" s="61"/>
    </row>
    <row r="10" spans="2:10" x14ac:dyDescent="0.3">
      <c r="B10" s="60"/>
      <c r="C10" s="60"/>
    </row>
    <row r="11" spans="2:10" ht="20.399999999999999" customHeight="1" x14ac:dyDescent="0.3">
      <c r="C11" s="60"/>
    </row>
  </sheetData>
  <autoFilter ref="B2:B9" xr:uid="{607087B3-0129-4C63-A08A-77F360FD7DD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FE236-3953-4E80-94B6-5B72F4EC6BD0}">
  <dimension ref="A2:G15"/>
  <sheetViews>
    <sheetView zoomScale="81" workbookViewId="0">
      <selection activeCell="D6" sqref="A2:E7"/>
    </sheetView>
  </sheetViews>
  <sheetFormatPr defaultRowHeight="14.4" x14ac:dyDescent="0.3"/>
  <cols>
    <col min="2" max="2" width="17.77734375" bestFit="1" customWidth="1"/>
    <col min="3" max="3" width="11.33203125" customWidth="1"/>
    <col min="4" max="4" width="12.5546875" bestFit="1" customWidth="1"/>
    <col min="5" max="5" width="16.6640625" customWidth="1"/>
  </cols>
  <sheetData>
    <row r="2" spans="1:7" x14ac:dyDescent="0.3">
      <c r="A2" s="32" t="s">
        <v>686</v>
      </c>
      <c r="B2" s="32" t="s">
        <v>593</v>
      </c>
      <c r="C2" s="32" t="s">
        <v>572</v>
      </c>
      <c r="D2" s="32" t="s">
        <v>617</v>
      </c>
      <c r="E2" s="32" t="s">
        <v>620</v>
      </c>
    </row>
    <row r="3" spans="1:7" x14ac:dyDescent="0.3">
      <c r="A3" s="33">
        <v>1001</v>
      </c>
      <c r="B3" s="33" t="s">
        <v>548</v>
      </c>
      <c r="C3" s="34">
        <v>70000</v>
      </c>
      <c r="D3" s="36">
        <f>IF(C3&gt;=$G$13,15%,IF(C3&gt;=$G$14,10%,IF(C3&gt;=$G$15,5%,0%)))</f>
        <v>0.15</v>
      </c>
      <c r="E3" s="34">
        <f>C3*D3</f>
        <v>10500</v>
      </c>
    </row>
    <row r="4" spans="1:7" x14ac:dyDescent="0.3">
      <c r="A4" s="33">
        <v>1002</v>
      </c>
      <c r="B4" s="33" t="s">
        <v>575</v>
      </c>
      <c r="C4" s="34">
        <v>50000</v>
      </c>
      <c r="D4" s="36">
        <f>IF(C4&gt;=$G$13,15%,IF(C4&gt;=$G$14,10%,IF(C4&gt;=$G$15,5%,0%)))</f>
        <v>0.15</v>
      </c>
      <c r="E4" s="34">
        <f>C4*D4</f>
        <v>7500</v>
      </c>
    </row>
    <row r="5" spans="1:7" x14ac:dyDescent="0.3">
      <c r="A5" s="33">
        <v>1003</v>
      </c>
      <c r="B5" s="33" t="s">
        <v>598</v>
      </c>
      <c r="C5" s="34">
        <v>45000</v>
      </c>
      <c r="D5" s="36">
        <f>IF(C5&gt;=$G$13,15%,IF(C5&gt;=$G$14,10%,IF(C5&gt;=$G$15,5%,0%)))</f>
        <v>0.15</v>
      </c>
      <c r="E5" s="34">
        <f>C5*D5</f>
        <v>6750</v>
      </c>
    </row>
    <row r="6" spans="1:7" x14ac:dyDescent="0.3">
      <c r="A6" s="35">
        <v>1004</v>
      </c>
      <c r="B6" s="35" t="s">
        <v>546</v>
      </c>
      <c r="C6" s="34">
        <v>75000</v>
      </c>
      <c r="D6" s="36">
        <f>IF(C6&gt;=$G$13,15%,IF(C6&gt;=$G$14,10%,IF(C6&gt;=$G$15,5%,0%)))</f>
        <v>0.15</v>
      </c>
      <c r="E6" s="34">
        <f>C6*D6</f>
        <v>11250</v>
      </c>
    </row>
    <row r="7" spans="1:7" x14ac:dyDescent="0.3">
      <c r="A7" s="35">
        <v>1005</v>
      </c>
      <c r="B7" s="35" t="s">
        <v>616</v>
      </c>
      <c r="C7" s="34">
        <v>55000</v>
      </c>
      <c r="D7" s="36">
        <f>IF(C7&gt;=$G$13,15%,IF(C7&gt;=$G$14,10%,IF(C7&gt;=$G$15,5%,0%)))</f>
        <v>0.15</v>
      </c>
      <c r="E7" s="34">
        <f>C7*D7</f>
        <v>8250</v>
      </c>
    </row>
    <row r="9" spans="1:7" x14ac:dyDescent="0.3">
      <c r="B9" s="27" t="s">
        <v>690</v>
      </c>
    </row>
    <row r="10" spans="1:7" x14ac:dyDescent="0.3">
      <c r="B10" s="65" t="s">
        <v>687</v>
      </c>
      <c r="C10" s="65" t="s">
        <v>572</v>
      </c>
      <c r="D10" s="65" t="s">
        <v>620</v>
      </c>
      <c r="F10" s="65" t="s">
        <v>688</v>
      </c>
      <c r="G10" s="65" t="s">
        <v>689</v>
      </c>
    </row>
    <row r="11" spans="1:7" x14ac:dyDescent="0.3">
      <c r="B11">
        <v>1003</v>
      </c>
      <c r="C11">
        <f>VLOOKUP(B11,A3:E7,MATCH(C2,A2:E2,0),FALSE)</f>
        <v>45000</v>
      </c>
      <c r="D11">
        <f>VLOOKUP(B11,A3:E7,MATCH(E2,A2:E2,0),FALSE)</f>
        <v>6750</v>
      </c>
      <c r="F11" t="s">
        <v>598</v>
      </c>
      <c r="G11">
        <f>MATCH(F11,B2:B7,0)</f>
        <v>4</v>
      </c>
    </row>
    <row r="13" spans="1:7" x14ac:dyDescent="0.3">
      <c r="B13" s="27" t="s">
        <v>691</v>
      </c>
    </row>
    <row r="14" spans="1:7" x14ac:dyDescent="0.3">
      <c r="B14" s="65" t="s">
        <v>687</v>
      </c>
      <c r="C14" s="65" t="s">
        <v>572</v>
      </c>
      <c r="D14" s="65" t="s">
        <v>620</v>
      </c>
    </row>
    <row r="15" spans="1:7" x14ac:dyDescent="0.3">
      <c r="B15">
        <v>1005</v>
      </c>
      <c r="C15">
        <f>INDEX(C3:C7,MATCH(B15,A3:A7,0))</f>
        <v>55000</v>
      </c>
      <c r="D15">
        <f>INDEX(E3:E7,MATCH(B15,A3:A7,0))</f>
        <v>8250</v>
      </c>
    </row>
  </sheetData>
  <phoneticPr fontId="15" type="noConversion"/>
  <dataValidations count="1">
    <dataValidation type="list" allowBlank="1" showInputMessage="1" showErrorMessage="1" sqref="B11 B15" xr:uid="{4A439758-2AD6-4796-909D-A3AB5C5BB3DD}">
      <formula1>$A$3:$A$7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945C-6A01-49F1-A32C-2F45537581FF}">
  <dimension ref="B3:G11"/>
  <sheetViews>
    <sheetView zoomScale="75" zoomScaleNormal="100" workbookViewId="0">
      <selection activeCell="D12" sqref="D12"/>
    </sheetView>
  </sheetViews>
  <sheetFormatPr defaultRowHeight="14.4" x14ac:dyDescent="0.3"/>
  <cols>
    <col min="2" max="2" width="13" bestFit="1" customWidth="1"/>
    <col min="4" max="4" width="12.88671875" bestFit="1" customWidth="1"/>
  </cols>
  <sheetData>
    <row r="3" spans="2:7" x14ac:dyDescent="0.3">
      <c r="B3" s="32" t="s">
        <v>686</v>
      </c>
      <c r="C3" s="33">
        <v>1001</v>
      </c>
      <c r="D3" s="33">
        <v>1002</v>
      </c>
      <c r="E3" s="33">
        <v>1003</v>
      </c>
      <c r="F3" s="35">
        <v>1004</v>
      </c>
      <c r="G3" s="35">
        <v>1005</v>
      </c>
    </row>
    <row r="4" spans="2:7" x14ac:dyDescent="0.3">
      <c r="B4" s="32" t="s">
        <v>593</v>
      </c>
      <c r="C4" s="33" t="s">
        <v>548</v>
      </c>
      <c r="D4" s="33" t="s">
        <v>575</v>
      </c>
      <c r="E4" s="33" t="s">
        <v>598</v>
      </c>
      <c r="F4" s="35" t="s">
        <v>546</v>
      </c>
      <c r="G4" s="35" t="s">
        <v>616</v>
      </c>
    </row>
    <row r="5" spans="2:7" x14ac:dyDescent="0.3">
      <c r="B5" s="32" t="s">
        <v>572</v>
      </c>
      <c r="C5" s="34">
        <v>70000</v>
      </c>
      <c r="D5" s="34">
        <v>50000</v>
      </c>
      <c r="E5" s="34">
        <v>45000</v>
      </c>
      <c r="F5" s="34">
        <v>75000</v>
      </c>
      <c r="G5" s="34">
        <v>55000</v>
      </c>
    </row>
    <row r="6" spans="2:7" x14ac:dyDescent="0.3">
      <c r="B6" s="32" t="s">
        <v>617</v>
      </c>
      <c r="C6" s="36">
        <f>IF(C5&gt;=$G$13,15%,IF(C5&gt;=$G$14,10%,IF(C5&gt;=$G$15,5%,0%)))</f>
        <v>0.15</v>
      </c>
      <c r="D6" s="36">
        <f>IF(D5&gt;=$G$13,15%,IF(D5&gt;=$G$14,10%,IF(D5&gt;=$G$15,5%,0%)))</f>
        <v>0.15</v>
      </c>
      <c r="E6" s="36">
        <f>IF(E5&gt;=$G$13,15%,IF(E5&gt;=$G$14,10%,IF(E5&gt;=$G$15,5%,0%)))</f>
        <v>0.15</v>
      </c>
      <c r="F6" s="36">
        <f>IF(F5&gt;=$G$13,15%,IF(F5&gt;=$G$14,10%,IF(F5&gt;=$G$15,5%,0%)))</f>
        <v>0.15</v>
      </c>
      <c r="G6" s="36">
        <f>IF(G5&gt;=$G$13,15%,IF(G5&gt;=$G$14,10%,IF(G5&gt;=$G$15,5%,0%)))</f>
        <v>0.15</v>
      </c>
    </row>
    <row r="7" spans="2:7" x14ac:dyDescent="0.3">
      <c r="B7" s="32" t="s">
        <v>620</v>
      </c>
      <c r="C7" s="34">
        <f>C5*C6</f>
        <v>10500</v>
      </c>
      <c r="D7" s="34">
        <f>D5*D6</f>
        <v>7500</v>
      </c>
      <c r="E7" s="34">
        <f>E5*E6</f>
        <v>6750</v>
      </c>
      <c r="F7" s="34">
        <f>F5*F6</f>
        <v>11250</v>
      </c>
      <c r="G7" s="34">
        <f>G5*G6</f>
        <v>8250</v>
      </c>
    </row>
    <row r="10" spans="2:7" x14ac:dyDescent="0.3">
      <c r="B10" s="28" t="s">
        <v>677</v>
      </c>
      <c r="C10" s="28" t="s">
        <v>572</v>
      </c>
      <c r="D10" s="28" t="s">
        <v>692</v>
      </c>
    </row>
    <row r="11" spans="2:7" x14ac:dyDescent="0.3">
      <c r="B11">
        <v>1003</v>
      </c>
      <c r="C11">
        <f>HLOOKUP(B11,C3:G7,MATCH(B5,B3:B7,0),MATCH(B11,C3:G3,0))</f>
        <v>45000</v>
      </c>
      <c r="D11">
        <f>HLOOKUP(B11,C3:G7,MATCH(B7,B3:B7,0),MATCH(B11,C3:G3,0))</f>
        <v>6750</v>
      </c>
    </row>
  </sheetData>
  <dataValidations count="1">
    <dataValidation type="list" allowBlank="1" showInputMessage="1" showErrorMessage="1" sqref="B11" xr:uid="{D0A27221-10CB-49D2-B266-F32E2FD6BE7E}">
      <formula1>$C$3:$G$3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5F623-917B-4F49-855A-1B9221A6FFAC}">
  <dimension ref="A3:G14"/>
  <sheetViews>
    <sheetView zoomScale="111" workbookViewId="0">
      <selection activeCell="I15" sqref="I15"/>
    </sheetView>
  </sheetViews>
  <sheetFormatPr defaultRowHeight="14.4" x14ac:dyDescent="0.3"/>
  <sheetData>
    <row r="3" spans="1:7" x14ac:dyDescent="0.3">
      <c r="A3" s="34"/>
      <c r="B3" s="34" t="s">
        <v>693</v>
      </c>
      <c r="C3" s="34" t="s">
        <v>694</v>
      </c>
      <c r="D3" s="34" t="s">
        <v>695</v>
      </c>
      <c r="E3" s="34" t="s">
        <v>696</v>
      </c>
      <c r="F3" s="34" t="s">
        <v>581</v>
      </c>
    </row>
    <row r="4" spans="1:7" x14ac:dyDescent="0.3">
      <c r="A4" s="34" t="s">
        <v>697</v>
      </c>
      <c r="B4" s="34">
        <v>100</v>
      </c>
      <c r="C4" s="34">
        <v>585</v>
      </c>
      <c r="D4" s="34">
        <v>333</v>
      </c>
      <c r="E4" s="34">
        <v>745</v>
      </c>
      <c r="F4" s="34">
        <v>222</v>
      </c>
    </row>
    <row r="5" spans="1:7" x14ac:dyDescent="0.3">
      <c r="A5" s="34" t="s">
        <v>698</v>
      </c>
      <c r="B5" s="34">
        <v>100</v>
      </c>
      <c r="C5" s="34">
        <v>500</v>
      </c>
      <c r="D5" s="34">
        <v>600</v>
      </c>
      <c r="E5" s="34">
        <v>700</v>
      </c>
      <c r="F5" s="34">
        <v>900</v>
      </c>
    </row>
    <row r="6" spans="1:7" x14ac:dyDescent="0.3">
      <c r="A6" s="34" t="s">
        <v>572</v>
      </c>
      <c r="B6" s="34">
        <v>2000</v>
      </c>
      <c r="C6" s="34">
        <v>7000</v>
      </c>
      <c r="D6" s="34">
        <v>8000</v>
      </c>
      <c r="E6" s="34">
        <v>6000</v>
      </c>
      <c r="F6" s="34">
        <v>4000</v>
      </c>
    </row>
    <row r="7" spans="1:7" x14ac:dyDescent="0.3">
      <c r="A7" s="34" t="s">
        <v>699</v>
      </c>
      <c r="B7" s="34">
        <v>400</v>
      </c>
      <c r="C7" s="34">
        <v>500</v>
      </c>
      <c r="D7" s="34">
        <v>300</v>
      </c>
      <c r="E7" s="34">
        <v>300</v>
      </c>
      <c r="F7" s="34">
        <v>200</v>
      </c>
    </row>
    <row r="11" spans="1:7" x14ac:dyDescent="0.3">
      <c r="B11" s="34" t="s">
        <v>700</v>
      </c>
      <c r="C11" s="34" t="s">
        <v>694</v>
      </c>
      <c r="F11" t="s">
        <v>701</v>
      </c>
    </row>
    <row r="12" spans="1:7" x14ac:dyDescent="0.3">
      <c r="B12" s="34" t="s">
        <v>572</v>
      </c>
      <c r="C12" s="34">
        <f>HLOOKUP($C$11,$B$3:$F$7,MATCH(B12,$A$3:$A$7,0),FALSE)</f>
        <v>7000</v>
      </c>
      <c r="F12" s="34" t="s">
        <v>700</v>
      </c>
      <c r="G12" s="34" t="s">
        <v>581</v>
      </c>
    </row>
    <row r="13" spans="1:7" x14ac:dyDescent="0.3">
      <c r="B13" s="34" t="s">
        <v>698</v>
      </c>
      <c r="C13" s="34">
        <f>HLOOKUP($C$11,$B$3:$F$7,MATCH(B13,$A$3:$A$7,0),FALSE)</f>
        <v>500</v>
      </c>
      <c r="F13" s="34" t="s">
        <v>572</v>
      </c>
      <c r="G13" s="34">
        <f>VLOOKUP(F13,$A$4:$F$7,MATCH($F$3,$A$3:$F$3,0),FALSE)</f>
        <v>4000</v>
      </c>
    </row>
    <row r="14" spans="1:7" x14ac:dyDescent="0.3">
      <c r="B14" s="34" t="s">
        <v>699</v>
      </c>
      <c r="C14" s="34">
        <f>HLOOKUP($C$11,$B$3:$F$7,MATCH(B14,$A$3:$A$7,0),FALSE)</f>
        <v>500</v>
      </c>
      <c r="F14" s="34" t="s">
        <v>699</v>
      </c>
      <c r="G14" s="34">
        <f>VLOOKUP(F14,$A$4:$F$7,MATCH($F$3,$A$3:$F$3,0),FALSE)</f>
        <v>200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EB056-8791-4327-A9B4-16DDB7F517A1}">
  <dimension ref="A1:T13"/>
  <sheetViews>
    <sheetView workbookViewId="0">
      <selection activeCell="G10" sqref="G10"/>
    </sheetView>
  </sheetViews>
  <sheetFormatPr defaultRowHeight="14.4" x14ac:dyDescent="0.3"/>
  <cols>
    <col min="3" max="3" width="11.5546875" bestFit="1" customWidth="1"/>
  </cols>
  <sheetData>
    <row r="1" spans="1:20" x14ac:dyDescent="0.3">
      <c r="A1" s="34"/>
      <c r="B1" s="66" t="s">
        <v>641</v>
      </c>
      <c r="C1" s="66" t="s">
        <v>705</v>
      </c>
      <c r="D1" s="66" t="s">
        <v>706</v>
      </c>
      <c r="E1" s="66"/>
      <c r="G1" s="67" t="s">
        <v>712</v>
      </c>
      <c r="H1" s="67" t="s">
        <v>706</v>
      </c>
    </row>
    <row r="2" spans="1:20" x14ac:dyDescent="0.3">
      <c r="A2" s="66" t="s">
        <v>707</v>
      </c>
      <c r="B2" s="34">
        <v>55</v>
      </c>
      <c r="C2" s="34">
        <v>44</v>
      </c>
      <c r="D2" s="34">
        <v>44</v>
      </c>
      <c r="E2" s="34"/>
      <c r="G2" t="s">
        <v>713</v>
      </c>
      <c r="H2" t="e" cm="1">
        <f t="array" aca="1" ref="H2" ca="1">SUM(H1,INDIRECT(Lemons))</f>
        <v>#REF!</v>
      </c>
      <c r="Q2">
        <v>34</v>
      </c>
      <c r="R2" t="s">
        <v>703</v>
      </c>
      <c r="T2" cm="1">
        <f t="array" aca="1" ref="T2" ca="1">INDIRECT("B2")</f>
        <v>55</v>
      </c>
    </row>
    <row r="3" spans="1:20" x14ac:dyDescent="0.3">
      <c r="A3" s="66" t="s">
        <v>708</v>
      </c>
      <c r="B3" s="34">
        <v>33</v>
      </c>
      <c r="C3" s="34">
        <v>32</v>
      </c>
      <c r="D3" s="34">
        <v>66</v>
      </c>
      <c r="E3" s="34"/>
      <c r="G3" t="s">
        <v>714</v>
      </c>
    </row>
    <row r="4" spans="1:20" x14ac:dyDescent="0.3">
      <c r="A4" s="66" t="s">
        <v>709</v>
      </c>
      <c r="B4" s="34">
        <v>45</v>
      </c>
      <c r="C4" s="34">
        <v>50</v>
      </c>
      <c r="D4" s="34">
        <v>44</v>
      </c>
      <c r="E4" s="34"/>
      <c r="G4" t="s">
        <v>715</v>
      </c>
    </row>
    <row r="5" spans="1:20" x14ac:dyDescent="0.3">
      <c r="A5" s="66" t="s">
        <v>710</v>
      </c>
      <c r="B5" s="34">
        <v>34</v>
      </c>
      <c r="C5" s="34">
        <v>32</v>
      </c>
      <c r="D5" s="34">
        <v>22</v>
      </c>
      <c r="E5" s="34"/>
      <c r="G5" t="s">
        <v>716</v>
      </c>
      <c r="Q5">
        <v>54</v>
      </c>
      <c r="R5" t="s">
        <v>704</v>
      </c>
    </row>
    <row r="6" spans="1:20" x14ac:dyDescent="0.3">
      <c r="A6" s="66" t="s">
        <v>711</v>
      </c>
      <c r="B6" s="34">
        <v>21</v>
      </c>
      <c r="C6" s="34">
        <v>26</v>
      </c>
      <c r="D6" s="34">
        <v>66</v>
      </c>
      <c r="E6" s="34"/>
    </row>
    <row r="7" spans="1:20" x14ac:dyDescent="0.3">
      <c r="P7" t="s">
        <v>548</v>
      </c>
      <c r="Q7" t="s">
        <v>549</v>
      </c>
      <c r="R7" t="str">
        <f>P7&amp;" "&amp;Q7</f>
        <v>Suhas Borkar</v>
      </c>
    </row>
    <row r="8" spans="1:20" x14ac:dyDescent="0.3">
      <c r="H8" t="s">
        <v>702</v>
      </c>
    </row>
    <row r="9" spans="1:20" x14ac:dyDescent="0.3">
      <c r="D9" cm="1">
        <f t="array" aca="1" ref="D9:D13" ca="1">INDIRECT(B1,TRUE)</f>
        <v>55</v>
      </c>
      <c r="F9" cm="1">
        <f t="array" aca="1" ref="F9" ca="1">INDIRECT("D9",TRUE)</f>
        <v>55</v>
      </c>
      <c r="H9" cm="1">
        <f t="array" aca="1" ref="H9" ca="1">INDIRECT("R9C4",FALSE)</f>
        <v>55</v>
      </c>
    </row>
    <row r="10" spans="1:20" x14ac:dyDescent="0.3">
      <c r="D10">
        <f ca="1"/>
        <v>33</v>
      </c>
    </row>
    <row r="11" spans="1:20" x14ac:dyDescent="0.3">
      <c r="D11">
        <f ca="1"/>
        <v>45</v>
      </c>
      <c r="G11" t="str" cm="1">
        <f t="array" aca="1" ref="G11" ca="1">INDIRECT("R1C2",FALSE)</f>
        <v>Apples</v>
      </c>
    </row>
    <row r="12" spans="1:20" x14ac:dyDescent="0.3">
      <c r="D12">
        <f ca="1"/>
        <v>34</v>
      </c>
    </row>
    <row r="13" spans="1:20" x14ac:dyDescent="0.3">
      <c r="D13">
        <f ca="1"/>
        <v>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F3A29-5C2F-43FF-B757-CC928EEFA7EF}">
  <dimension ref="A1:L8"/>
  <sheetViews>
    <sheetView zoomScale="159" workbookViewId="0">
      <selection activeCell="E2" sqref="E2"/>
    </sheetView>
  </sheetViews>
  <sheetFormatPr defaultRowHeight="14.4" x14ac:dyDescent="0.3"/>
  <cols>
    <col min="4" max="4" width="13.109375" style="71" customWidth="1"/>
  </cols>
  <sheetData>
    <row r="1" spans="1:12" x14ac:dyDescent="0.3">
      <c r="A1" s="66" t="s">
        <v>717</v>
      </c>
      <c r="B1" s="75" t="s">
        <v>724</v>
      </c>
      <c r="C1" s="66" t="s">
        <v>718</v>
      </c>
      <c r="D1" s="66" t="s">
        <v>721</v>
      </c>
      <c r="E1" s="73" t="s">
        <v>604</v>
      </c>
      <c r="F1" s="74" t="s">
        <v>724</v>
      </c>
    </row>
    <row r="2" spans="1:12" x14ac:dyDescent="0.3">
      <c r="A2" s="34">
        <v>21</v>
      </c>
      <c r="B2" s="34">
        <v>1425</v>
      </c>
      <c r="C2" s="34">
        <v>2</v>
      </c>
      <c r="D2" s="70">
        <v>45262</v>
      </c>
      <c r="E2" s="34">
        <v>41</v>
      </c>
      <c r="F2" s="68"/>
    </row>
    <row r="3" spans="1:12" x14ac:dyDescent="0.3">
      <c r="A3" s="34">
        <v>18</v>
      </c>
      <c r="B3" s="76" t="s">
        <v>725</v>
      </c>
      <c r="C3" s="34">
        <v>10</v>
      </c>
      <c r="D3" s="70">
        <v>46218</v>
      </c>
      <c r="E3" s="34"/>
      <c r="F3" s="68"/>
      <c r="I3" t="s">
        <v>719</v>
      </c>
      <c r="J3">
        <v>2</v>
      </c>
      <c r="K3" s="72" t="s">
        <v>722</v>
      </c>
      <c r="L3">
        <v>40</v>
      </c>
    </row>
    <row r="4" spans="1:12" x14ac:dyDescent="0.3">
      <c r="A4" s="34">
        <v>12</v>
      </c>
      <c r="B4" s="34"/>
      <c r="C4" s="34">
        <v>5</v>
      </c>
      <c r="D4" s="70"/>
      <c r="E4" s="34"/>
      <c r="F4" s="68"/>
      <c r="I4" t="s">
        <v>720</v>
      </c>
      <c r="J4">
        <v>10</v>
      </c>
      <c r="K4" s="72" t="s">
        <v>723</v>
      </c>
      <c r="L4">
        <v>75</v>
      </c>
    </row>
    <row r="5" spans="1:12" x14ac:dyDescent="0.3">
      <c r="A5" s="34">
        <v>20</v>
      </c>
      <c r="B5" s="34"/>
      <c r="C5" s="34">
        <v>6</v>
      </c>
      <c r="D5" s="70"/>
      <c r="E5" s="34"/>
      <c r="F5" s="68"/>
    </row>
    <row r="6" spans="1:12" x14ac:dyDescent="0.3">
      <c r="A6" s="34">
        <v>25</v>
      </c>
      <c r="B6" s="34"/>
      <c r="C6" s="34">
        <v>5</v>
      </c>
      <c r="D6" s="70"/>
      <c r="E6" s="34"/>
      <c r="F6" s="68"/>
    </row>
    <row r="7" spans="1:12" x14ac:dyDescent="0.3">
      <c r="A7" s="69">
        <v>25</v>
      </c>
      <c r="B7" s="69"/>
      <c r="C7" s="69">
        <v>9</v>
      </c>
      <c r="D7" s="70"/>
      <c r="E7" s="34"/>
      <c r="F7" s="68"/>
    </row>
    <row r="8" spans="1:12" x14ac:dyDescent="0.3">
      <c r="A8" s="69">
        <v>12</v>
      </c>
      <c r="B8" s="69"/>
      <c r="C8" s="69">
        <v>8</v>
      </c>
      <c r="D8" s="70"/>
      <c r="E8" s="34"/>
      <c r="F8" s="68"/>
    </row>
  </sheetData>
  <dataValidations count="5">
    <dataValidation type="whole" errorStyle="warning" allowBlank="1" showInputMessage="1" showErrorMessage="1" errorTitle="Age Error" error="The age entered is not within range" promptTitle="Age Restrictions" prompt="Enter Age betweeen 18 to 60" sqref="A1:A1048576" xr:uid="{F3825B10-C281-46CF-9164-2019892889DD}">
      <formula1>18</formula1>
      <formula2>60</formula2>
    </dataValidation>
    <dataValidation type="date" operator="lessThanOrEqual" allowBlank="1" showInputMessage="1" showErrorMessage="1" errorTitle="Wrong Date" error="You have entred wrong date" promptTitle="DATE" prompt="Enter Date " sqref="D2:D1048576" xr:uid="{EBC0259C-BFAE-49C7-B81A-B5154ED856B3}">
      <formula1>46218</formula1>
    </dataValidation>
    <dataValidation type="custom" allowBlank="1" showInputMessage="1" showErrorMessage="1" sqref="E2:F1048576" xr:uid="{FC2D94F4-7FE8-43E6-8531-397E2DB3E9E1}">
      <formula1>AND(E2&gt;40,E2&lt;=75)</formula1>
    </dataValidation>
    <dataValidation type="whole" allowBlank="1" showInputMessage="1" showErrorMessage="1" errorTitle="Wrong Quantity" error="Entered Value is wrong" promptTitle="Quantity" prompt="Enter quantity in 2 to 10" sqref="C2:C1048576" xr:uid="{9053FF0A-56C9-4C65-BBA0-B7C8036D947A}">
      <formula1>$J$3</formula1>
      <formula2>$J$4</formula2>
    </dataValidation>
    <dataValidation type="textLength" operator="equal" allowBlank="1" showInputMessage="1" showErrorMessage="1" errorTitle="INCORRECT OTP" error="You have entered wrong OTP_x000a_" promptTitle="OTP" prompt="Enter the OTP ( 4 CHAR )" sqref="B2:B1048576" xr:uid="{F96F00EF-7913-44F2-B72A-14291EFFAF41}">
      <formula1>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DMartDataset</vt:lpstr>
      <vt:lpstr>SUMIF</vt:lpstr>
      <vt:lpstr>TEXT TO COLUMN</vt:lpstr>
      <vt:lpstr>if_formula</vt:lpstr>
      <vt:lpstr>custome_list</vt:lpstr>
      <vt:lpstr>nested if</vt:lpstr>
      <vt:lpstr>subtotal</vt:lpstr>
      <vt:lpstr>vlookup</vt:lpstr>
      <vt:lpstr>hlookup</vt:lpstr>
      <vt:lpstr>Hlookup1</vt:lpstr>
      <vt:lpstr>INDIRECT</vt:lpstr>
      <vt:lpstr>Data Validation</vt:lpstr>
      <vt:lpstr>Apples</vt:lpstr>
      <vt:lpstr>Bananas</vt:lpstr>
      <vt:lpstr>Category</vt:lpstr>
      <vt:lpstr>customer_type</vt:lpstr>
      <vt:lpstr>Discount</vt:lpstr>
      <vt:lpstr>Lemons</vt:lpstr>
      <vt:lpstr>oder_date</vt:lpstr>
      <vt:lpstr>Oders</vt:lpstr>
      <vt:lpstr>payment_mode</vt:lpstr>
      <vt:lpstr>Region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Ritesh Ramteke</cp:lastModifiedBy>
  <cp:lastPrinted>2026-07-15T03:39:35Z</cp:lastPrinted>
  <dcterms:created xsi:type="dcterms:W3CDTF">2026-04-17T06:18:56Z</dcterms:created>
  <dcterms:modified xsi:type="dcterms:W3CDTF">2026-07-15T03:40:30Z</dcterms:modified>
</cp:coreProperties>
</file>